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ão Martins\Desktop\Data Analyst Journey\Excel\"/>
    </mc:Choice>
  </mc:AlternateContent>
  <xr:revisionPtr revIDLastSave="0" documentId="13_ncr:1_{4B048686-952C-4BFA-B2F1-403D9E26BB89}" xr6:coauthVersionLast="47" xr6:coauthVersionMax="47" xr10:uidLastSave="{00000000-0000-0000-0000-000000000000}"/>
  <bookViews>
    <workbookView xWindow="3510" yWindow="351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 a="1"/>
  <c r="P6" i="1" a="1"/>
  <c r="O7" i="1"/>
  <c r="O8" i="1"/>
  <c r="O9" i="1"/>
  <c r="O10" i="1"/>
  <c r="O11" i="1"/>
  <c r="O12" i="1"/>
  <c r="O13" i="1"/>
  <c r="O6" i="1"/>
  <c r="N6" i="1" a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<sst xmlns="http://schemas.openxmlformats.org/spreadsheetml/2006/main" count="40" uniqueCount="38">
  <si>
    <t>Today I'm recreating the table I learned yesterday but with different values and premises to make it my own (all from my own head, not real values)</t>
  </si>
  <si>
    <t>Max Score</t>
  </si>
  <si>
    <t>Name</t>
  </si>
  <si>
    <t>Test 1</t>
  </si>
  <si>
    <t>Test 2</t>
  </si>
  <si>
    <t>Test 3</t>
  </si>
  <si>
    <t>Test 4</t>
  </si>
  <si>
    <t>Test 5</t>
  </si>
  <si>
    <t>Test 6</t>
  </si>
  <si>
    <t>Mid Term</t>
  </si>
  <si>
    <t>Test 7</t>
  </si>
  <si>
    <t>Test 8</t>
  </si>
  <si>
    <t>Test 9</t>
  </si>
  <si>
    <t>Finals</t>
  </si>
  <si>
    <t>Total</t>
  </si>
  <si>
    <t>% Grade</t>
  </si>
  <si>
    <t>Decimal Grade</t>
  </si>
  <si>
    <t>Joe</t>
  </si>
  <si>
    <t>Thomas</t>
  </si>
  <si>
    <t>Jeff</t>
  </si>
  <si>
    <t>Lin</t>
  </si>
  <si>
    <t>Robert</t>
  </si>
  <si>
    <t>Hamilton</t>
  </si>
  <si>
    <t>Paul</t>
  </si>
  <si>
    <t>Kobe</t>
  </si>
  <si>
    <t>Average</t>
  </si>
  <si>
    <t>Extra Credit</t>
  </si>
  <si>
    <t>I used CTRL + * to select the whole table area even with no values in the middle yet.</t>
  </si>
  <si>
    <t>Remembered to use double click on the format painter to hold the visual I wanted for several clicks.</t>
  </si>
  <si>
    <t>Used ALT + SHIFT + 0 (portuguese keyboard) to use the SUM function.</t>
  </si>
  <si>
    <t>Used CTRL to select two different areas of the table at the same time.</t>
  </si>
  <si>
    <t>Used F2 to edit the cell faster than clicking it in the upper belt (maybe incorrect name, can't remember).</t>
  </si>
  <si>
    <t>Used F4 to change a used cell from relative to absolute, so all the cells in that collumn use that specific cell in the function.</t>
  </si>
  <si>
    <t>Remembered the correct use of ByCol and ByRow.</t>
  </si>
  <si>
    <t>Used XLOOKUP to get values from a Pivot Table into my formatted table.</t>
  </si>
  <si>
    <t>Also remembered CTRL + Z to undo.</t>
  </si>
  <si>
    <t>Used the Selection of na array of Cells to input values in order by just pressing ENTER.</t>
  </si>
  <si>
    <t>Successfully used Aggregate(SUM), Single Output (ByCol, ByRow) and Spilled Array Formulas(XLOOKUP).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</si>
</sst>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activeCell="B28" sqref="B28"/>
    </sheetView>
  </sheetViews>
  <sheetFormatPr defaultRowHeight="15" x14ac:dyDescent="0.25"/>
  <cols>
    <col min="2" max="2" width="10" bestFit="1" customWidth="1"/>
    <col min="16" max="16" width="14" bestFit="1" customWidth="1"/>
    <col min="17" max="17" width="4.28515625" customWidth="1"/>
    <col min="18" max="18" width="8.28515625" bestFit="1" customWidth="1"/>
    <col min="19" max="19" width="14" bestFit="1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x14ac:dyDescent="0.25">
      <c r="P2" s="3" t="s">
        <v>26</v>
      </c>
    </row>
    <row r="3" spans="1:19" x14ac:dyDescent="0.25">
      <c r="B3" s="3" t="s">
        <v>1</v>
      </c>
      <c r="C3" s="2">
        <v>40</v>
      </c>
      <c r="D3" s="2">
        <v>40</v>
      </c>
      <c r="E3" s="2">
        <v>40</v>
      </c>
      <c r="F3" s="2">
        <v>40</v>
      </c>
      <c r="G3" s="2">
        <v>40</v>
      </c>
      <c r="H3" s="2">
        <v>40</v>
      </c>
      <c r="I3" s="2">
        <v>90</v>
      </c>
      <c r="J3" s="2">
        <v>40</v>
      </c>
      <c r="K3" s="2">
        <v>40</v>
      </c>
      <c r="L3" s="2">
        <v>40</v>
      </c>
      <c r="M3" s="2">
        <v>100</v>
      </c>
      <c r="N3" s="4">
        <f>SUM(C3:M3)</f>
        <v>550</v>
      </c>
      <c r="P3" s="2">
        <v>5</v>
      </c>
    </row>
    <row r="5" spans="1:19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R5" s="3" t="s">
        <v>15</v>
      </c>
      <c r="S5" s="3" t="s">
        <v>16</v>
      </c>
    </row>
    <row r="6" spans="1:19" x14ac:dyDescent="0.25">
      <c r="B6" s="2" t="s">
        <v>17</v>
      </c>
      <c r="C6" s="2">
        <v>39</v>
      </c>
      <c r="D6" s="2">
        <v>37</v>
      </c>
      <c r="E6" s="2">
        <v>40</v>
      </c>
      <c r="F6" s="2">
        <v>31</v>
      </c>
      <c r="G6" s="2">
        <v>37</v>
      </c>
      <c r="H6" s="2">
        <v>40</v>
      </c>
      <c r="I6" s="2">
        <v>85</v>
      </c>
      <c r="J6" s="2">
        <v>40</v>
      </c>
      <c r="K6" s="2">
        <v>37</v>
      </c>
      <c r="L6" s="2">
        <v>39</v>
      </c>
      <c r="M6" s="2">
        <v>94</v>
      </c>
      <c r="N6" s="4" cm="1">
        <f t="array" ref="N6:N13">_xlfn.BYROW(C6:M13,_xleta.SUM)+P3</f>
        <v>524</v>
      </c>
      <c r="O6" s="4">
        <f>N6/$N$3</f>
        <v>0.95272727272727276</v>
      </c>
      <c r="P6" s="4" cm="1">
        <f t="array" ref="P6:P13">_xlfn.XLOOKUP(O6:O13,R6:R14,S6:S14,,-1)</f>
        <v>4</v>
      </c>
      <c r="R6" s="2">
        <v>0</v>
      </c>
      <c r="S6" s="2">
        <v>0</v>
      </c>
    </row>
    <row r="7" spans="1:19" x14ac:dyDescent="0.25">
      <c r="B7" s="2" t="s">
        <v>18</v>
      </c>
      <c r="C7" s="2">
        <v>37</v>
      </c>
      <c r="D7" s="2">
        <v>35</v>
      </c>
      <c r="E7" s="2">
        <v>40</v>
      </c>
      <c r="F7" s="2">
        <v>35</v>
      </c>
      <c r="G7" s="2">
        <v>35</v>
      </c>
      <c r="H7" s="2">
        <v>35</v>
      </c>
      <c r="I7" s="2">
        <v>73</v>
      </c>
      <c r="J7" s="2">
        <v>35</v>
      </c>
      <c r="K7" s="2">
        <v>40</v>
      </c>
      <c r="L7" s="2">
        <v>37</v>
      </c>
      <c r="M7" s="2">
        <v>85</v>
      </c>
      <c r="N7" s="4">
        <v>492</v>
      </c>
      <c r="O7" s="4">
        <f t="shared" ref="O7:O13" si="0">N7/$N$3</f>
        <v>0.89454545454545453</v>
      </c>
      <c r="P7" s="4">
        <v>3.8</v>
      </c>
      <c r="R7" s="2">
        <v>0.84</v>
      </c>
      <c r="S7" s="2">
        <v>3.3</v>
      </c>
    </row>
    <row r="8" spans="1:19" x14ac:dyDescent="0.25">
      <c r="B8" s="2" t="s">
        <v>19</v>
      </c>
      <c r="C8" s="2">
        <v>25</v>
      </c>
      <c r="D8" s="2">
        <v>30</v>
      </c>
      <c r="E8" s="2">
        <v>39</v>
      </c>
      <c r="F8" s="2">
        <v>29</v>
      </c>
      <c r="G8" s="2">
        <v>38</v>
      </c>
      <c r="H8" s="2">
        <v>37</v>
      </c>
      <c r="I8" s="2">
        <v>89</v>
      </c>
      <c r="J8" s="2">
        <v>38</v>
      </c>
      <c r="K8" s="2">
        <v>35</v>
      </c>
      <c r="L8" s="2">
        <v>29</v>
      </c>
      <c r="M8" s="2">
        <v>76</v>
      </c>
      <c r="N8" s="4">
        <v>470</v>
      </c>
      <c r="O8" s="4">
        <f t="shared" si="0"/>
        <v>0.8545454545454545</v>
      </c>
      <c r="P8" s="4">
        <v>3.4</v>
      </c>
      <c r="R8" s="2">
        <v>0.85</v>
      </c>
      <c r="S8" s="2">
        <v>3.4</v>
      </c>
    </row>
    <row r="9" spans="1:19" x14ac:dyDescent="0.25">
      <c r="B9" s="2" t="s">
        <v>20</v>
      </c>
      <c r="C9" s="2">
        <v>36</v>
      </c>
      <c r="D9" s="2">
        <v>33</v>
      </c>
      <c r="E9" s="2">
        <v>37</v>
      </c>
      <c r="F9" s="2">
        <v>38</v>
      </c>
      <c r="G9" s="2">
        <v>39</v>
      </c>
      <c r="H9" s="2">
        <v>38</v>
      </c>
      <c r="I9" s="2">
        <v>85</v>
      </c>
      <c r="J9" s="2">
        <v>37</v>
      </c>
      <c r="K9" s="2">
        <v>39</v>
      </c>
      <c r="L9" s="2">
        <v>35</v>
      </c>
      <c r="M9" s="2">
        <v>95</v>
      </c>
      <c r="N9" s="4">
        <v>517</v>
      </c>
      <c r="O9" s="4">
        <f t="shared" si="0"/>
        <v>0.94</v>
      </c>
      <c r="P9" s="4">
        <v>4</v>
      </c>
      <c r="R9" s="2">
        <v>0.86</v>
      </c>
      <c r="S9" s="2">
        <v>3.5</v>
      </c>
    </row>
    <row r="10" spans="1:19" x14ac:dyDescent="0.25">
      <c r="B10" s="2" t="s">
        <v>21</v>
      </c>
      <c r="C10" s="2">
        <v>29</v>
      </c>
      <c r="D10" s="2">
        <v>31</v>
      </c>
      <c r="E10" s="2">
        <v>40</v>
      </c>
      <c r="F10" s="2">
        <v>36</v>
      </c>
      <c r="G10" s="2">
        <v>28</v>
      </c>
      <c r="H10" s="2">
        <v>39</v>
      </c>
      <c r="I10" s="2">
        <v>76</v>
      </c>
      <c r="J10" s="2">
        <v>31</v>
      </c>
      <c r="K10" s="2">
        <v>28</v>
      </c>
      <c r="L10" s="2">
        <v>37</v>
      </c>
      <c r="M10" s="2">
        <v>98</v>
      </c>
      <c r="N10" s="4">
        <v>478</v>
      </c>
      <c r="O10" s="4">
        <f t="shared" si="0"/>
        <v>0.86909090909090914</v>
      </c>
      <c r="P10" s="4">
        <v>3.5</v>
      </c>
      <c r="R10" s="2">
        <v>0.87</v>
      </c>
      <c r="S10" s="2">
        <v>3.6</v>
      </c>
    </row>
    <row r="11" spans="1:19" x14ac:dyDescent="0.25">
      <c r="B11" s="2" t="s">
        <v>22</v>
      </c>
      <c r="C11" s="2">
        <v>15</v>
      </c>
      <c r="D11" s="2">
        <v>40</v>
      </c>
      <c r="E11" s="2">
        <v>35</v>
      </c>
      <c r="F11" s="2">
        <v>31</v>
      </c>
      <c r="G11" s="2">
        <v>40</v>
      </c>
      <c r="H11" s="2">
        <v>29</v>
      </c>
      <c r="I11" s="2">
        <v>90</v>
      </c>
      <c r="J11" s="2">
        <v>30</v>
      </c>
      <c r="K11" s="2">
        <v>37</v>
      </c>
      <c r="L11" s="2">
        <v>36</v>
      </c>
      <c r="M11" s="2">
        <v>86</v>
      </c>
      <c r="N11" s="4">
        <v>474</v>
      </c>
      <c r="O11" s="4">
        <f t="shared" si="0"/>
        <v>0.86181818181818182</v>
      </c>
      <c r="P11" s="4">
        <v>3.5</v>
      </c>
      <c r="R11" s="2">
        <v>0.88</v>
      </c>
      <c r="S11" s="2">
        <v>3.7</v>
      </c>
    </row>
    <row r="12" spans="1:19" x14ac:dyDescent="0.25">
      <c r="B12" s="2" t="s">
        <v>23</v>
      </c>
      <c r="C12" s="2">
        <v>34</v>
      </c>
      <c r="D12" s="2">
        <v>34</v>
      </c>
      <c r="E12" s="2">
        <v>40</v>
      </c>
      <c r="F12" s="2">
        <v>30</v>
      </c>
      <c r="G12" s="2">
        <v>36</v>
      </c>
      <c r="H12" s="2">
        <v>31</v>
      </c>
      <c r="I12" s="2">
        <v>75</v>
      </c>
      <c r="J12" s="2">
        <v>29</v>
      </c>
      <c r="K12" s="2">
        <v>40</v>
      </c>
      <c r="L12" s="2">
        <v>31</v>
      </c>
      <c r="M12" s="2">
        <v>90</v>
      </c>
      <c r="N12" s="4">
        <v>475</v>
      </c>
      <c r="O12" s="4">
        <f t="shared" si="0"/>
        <v>0.86363636363636365</v>
      </c>
      <c r="P12" s="4">
        <v>3.5</v>
      </c>
      <c r="R12" s="2">
        <v>0.89</v>
      </c>
      <c r="S12" s="2">
        <v>3.8</v>
      </c>
    </row>
    <row r="13" spans="1:19" x14ac:dyDescent="0.25">
      <c r="B13" s="2" t="s">
        <v>24</v>
      </c>
      <c r="C13" s="2">
        <v>40</v>
      </c>
      <c r="D13" s="2">
        <v>32</v>
      </c>
      <c r="E13" s="2">
        <v>38</v>
      </c>
      <c r="F13" s="2">
        <v>40</v>
      </c>
      <c r="G13" s="2">
        <v>31</v>
      </c>
      <c r="H13" s="2">
        <v>40</v>
      </c>
      <c r="I13" s="2">
        <v>86</v>
      </c>
      <c r="J13" s="2">
        <v>35</v>
      </c>
      <c r="K13" s="2">
        <v>35</v>
      </c>
      <c r="L13" s="2">
        <v>37</v>
      </c>
      <c r="M13" s="2">
        <v>92</v>
      </c>
      <c r="N13" s="4">
        <v>511</v>
      </c>
      <c r="O13" s="4">
        <f t="shared" si="0"/>
        <v>0.92909090909090908</v>
      </c>
      <c r="P13" s="4">
        <v>4</v>
      </c>
      <c r="R13" s="2">
        <v>0.9</v>
      </c>
      <c r="S13" s="2">
        <v>3.9</v>
      </c>
    </row>
    <row r="14" spans="1:19" x14ac:dyDescent="0.25">
      <c r="B14" s="3" t="s">
        <v>25</v>
      </c>
      <c r="C14" s="4" cm="1">
        <f t="array" ref="C14:P14">_xlfn.BYCOL(C6:P13,_xleta.AVERAGE)</f>
        <v>31.875</v>
      </c>
      <c r="D14" s="4">
        <v>34</v>
      </c>
      <c r="E14" s="4">
        <v>38.625</v>
      </c>
      <c r="F14" s="4">
        <v>33.75</v>
      </c>
      <c r="G14" s="4">
        <v>35.5</v>
      </c>
      <c r="H14" s="4">
        <v>36.125</v>
      </c>
      <c r="I14" s="4">
        <v>82.375</v>
      </c>
      <c r="J14" s="4">
        <v>34.375</v>
      </c>
      <c r="K14" s="4">
        <v>36.375</v>
      </c>
      <c r="L14" s="4">
        <v>35.125</v>
      </c>
      <c r="M14" s="4">
        <v>89.5</v>
      </c>
      <c r="N14" s="4">
        <v>492.625</v>
      </c>
      <c r="O14" s="4">
        <v>0.89568181818181813</v>
      </c>
      <c r="P14" s="4">
        <v>3.7124999999999999</v>
      </c>
      <c r="R14" s="2">
        <v>0.91</v>
      </c>
      <c r="S14" s="2">
        <v>4</v>
      </c>
    </row>
    <row r="17" spans="2:2" x14ac:dyDescent="0.25">
      <c r="B17" t="s">
        <v>27</v>
      </c>
    </row>
    <row r="18" spans="2:2" x14ac:dyDescent="0.25">
      <c r="B18" t="s">
        <v>28</v>
      </c>
    </row>
    <row r="19" spans="2:2" x14ac:dyDescent="0.25">
      <c r="B19" t="s">
        <v>29</v>
      </c>
    </row>
    <row r="20" spans="2:2" x14ac:dyDescent="0.25">
      <c r="B20" t="s">
        <v>30</v>
      </c>
    </row>
    <row r="21" spans="2:2" x14ac:dyDescent="0.25">
      <c r="B21" t="s">
        <v>31</v>
      </c>
    </row>
    <row r="22" spans="2:2" x14ac:dyDescent="0.25">
      <c r="B22" t="s">
        <v>32</v>
      </c>
    </row>
    <row r="23" spans="2:2" x14ac:dyDescent="0.25">
      <c r="B23" t="s">
        <v>33</v>
      </c>
    </row>
    <row r="24" spans="2:2" x14ac:dyDescent="0.25">
      <c r="B24" t="s">
        <v>34</v>
      </c>
    </row>
    <row r="25" spans="2:2" x14ac:dyDescent="0.25">
      <c r="B25" t="s">
        <v>35</v>
      </c>
    </row>
    <row r="26" spans="2:2" x14ac:dyDescent="0.25">
      <c r="B26" t="s">
        <v>36</v>
      </c>
    </row>
    <row r="27" spans="2:2" x14ac:dyDescent="0.25">
      <c r="B27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Martins</dc:creator>
  <cp:lastModifiedBy>João Martins</cp:lastModifiedBy>
  <dcterms:created xsi:type="dcterms:W3CDTF">2015-06-05T18:17:20Z</dcterms:created>
  <dcterms:modified xsi:type="dcterms:W3CDTF">2026-07-29T15:33:47Z</dcterms:modified>
</cp:coreProperties>
</file>