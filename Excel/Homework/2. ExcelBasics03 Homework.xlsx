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ão Martins\Desktop\Data Analyst Journey\Excel\"/>
    </mc:Choice>
  </mc:AlternateContent>
  <xr:revisionPtr revIDLastSave="0" documentId="13_ncr:1_{DC3ABAF0-7A32-476C-8D78-59E8C76FDFEE}" xr6:coauthVersionLast="47" xr6:coauthVersionMax="47" xr10:uidLastSave="{00000000-0000-0000-0000-000000000000}"/>
  <bookViews>
    <workbookView xWindow="19095" yWindow="0" windowWidth="19410" windowHeight="20985" activeTab="3" xr2:uid="{00000000-000D-0000-FFFF-FFFF00000000}"/>
  </bookViews>
  <sheets>
    <sheet name="HW(1)" sheetId="2" r:id="rId1"/>
    <sheet name="HW(1an)" sheetId="3" r:id="rId2"/>
    <sheet name="HW(2)" sheetId="4" r:id="rId3"/>
    <sheet name="HW(2an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C15" i="5"/>
  <c r="C14" i="5"/>
  <c r="C13" i="5"/>
  <c r="C12" i="5"/>
  <c r="C11" i="5"/>
  <c r="C10" i="5"/>
  <c r="C9" i="5"/>
  <c r="C8" i="5"/>
  <c r="C7" i="5"/>
  <c r="C6" i="5"/>
  <c r="C5" i="5"/>
  <c r="C4" i="5"/>
  <c r="C16" i="4"/>
  <c r="C15" i="4"/>
  <c r="C14" i="4"/>
  <c r="C13" i="4"/>
  <c r="C12" i="4"/>
  <c r="C11" i="4"/>
  <c r="C10" i="4"/>
  <c r="C9" i="4"/>
  <c r="C8" i="4"/>
  <c r="C7" i="4"/>
  <c r="C6" i="4"/>
  <c r="C5" i="4"/>
  <c r="C4" i="4"/>
  <c r="G4" i="3" a="1"/>
  <c r="G17" i="3" s="1"/>
  <c r="C4" i="3" a="1"/>
  <c r="C17" i="3" s="1"/>
  <c r="C4" i="2" a="1"/>
  <c r="C1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<sst xmlns="http://schemas.openxmlformats.org/spreadsheetml/2006/main" count="80" uniqueCount="25">
  <si>
    <t>Calculate the Tax Deduction for each employee and then add to get the Total Tax Deduction</t>
  </si>
  <si>
    <t>Employee</t>
  </si>
  <si>
    <t>Gross Pay</t>
  </si>
  <si>
    <t>Tax Deduction</t>
  </si>
  <si>
    <t>Tax Rate</t>
  </si>
  <si>
    <t>Sioux</t>
  </si>
  <si>
    <t>Lindee</t>
  </si>
  <si>
    <t>Billy</t>
  </si>
  <si>
    <t>Mo</t>
  </si>
  <si>
    <t>Abdi</t>
  </si>
  <si>
    <t>Chin</t>
  </si>
  <si>
    <t>Danny</t>
  </si>
  <si>
    <t>Osborn</t>
  </si>
  <si>
    <t>Phil</t>
  </si>
  <si>
    <t>Ann</t>
  </si>
  <si>
    <t>ShelaDawn</t>
  </si>
  <si>
    <t>Total</t>
  </si>
  <si>
    <t>Incorrect</t>
  </si>
  <si>
    <t>What is misleading about the below spreadhseet?</t>
  </si>
  <si>
    <t>Sales</t>
  </si>
  <si>
    <r>
      <rPr>
        <b/>
        <sz val="11"/>
        <color theme="1"/>
        <rFont val="Calibri"/>
        <family val="2"/>
        <scheme val="minor"/>
      </rPr>
      <t>Answer:</t>
    </r>
    <r>
      <rPr>
        <sz val="11"/>
        <color theme="1"/>
        <rFont val="Calibri"/>
        <family val="2"/>
        <scheme val="minor"/>
      </rPr>
      <t xml:space="preserve"> The Tax Rate has had the decimals decreased. I</t>
    </r>
  </si>
  <si>
    <t>am not sure if the person who created this thought the tax</t>
  </si>
  <si>
    <t>rate is supposed to be 10% or not, or if the formula result is</t>
  </si>
  <si>
    <t>correct. I do know that the formula can NOT "see" Number</t>
  </si>
  <si>
    <t>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</si>
</sst>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3" borderId="4" xfId="0" applyFont="1" applyFill="1" applyBorder="1"/>
    <xf numFmtId="0" fontId="2" fillId="4" borderId="4" xfId="0" applyFont="1" applyFill="1" applyBorder="1"/>
    <xf numFmtId="0" fontId="0" fillId="0" borderId="4" xfId="0" applyBorder="1"/>
    <xf numFmtId="0" fontId="0" fillId="5" borderId="4" xfId="0" applyFill="1" applyBorder="1"/>
    <xf numFmtId="164" fontId="0" fillId="0" borderId="4" xfId="0" applyNumberFormat="1" applyBorder="1"/>
    <xf numFmtId="0" fontId="0" fillId="6" borderId="4" xfId="0" applyFill="1" applyBorder="1"/>
    <xf numFmtId="165" fontId="0" fillId="5" borderId="4" xfId="0" applyNumberFormat="1" applyFill="1" applyBorder="1"/>
    <xf numFmtId="165" fontId="0" fillId="6" borderId="4" xfId="0" applyNumberFormat="1" applyFill="1" applyBorder="1"/>
    <xf numFmtId="10" fontId="0" fillId="0" borderId="4" xfId="0" applyNumberFormat="1" applyBorder="1"/>
    <xf numFmtId="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423B-EB3A-4415-B427-5CAEED517183}">
  <sheetPr>
    <tabColor rgb="FF0000FF"/>
  </sheetPr>
  <dimension ref="A1:H17"/>
  <sheetViews>
    <sheetView zoomScale="250" zoomScaleNormal="250" workbookViewId="0">
      <selection activeCell="C18" sqref="C18"/>
    </sheetView>
  </sheetViews>
  <sheetFormatPr defaultRowHeight="15" x14ac:dyDescent="0.25"/>
  <cols>
    <col min="1" max="1" width="12.140625" customWidth="1"/>
    <col min="2" max="2" width="10.85546875" customWidth="1"/>
    <col min="3" max="3" width="13.7109375" bestFit="1" customWidth="1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3" spans="1:8" x14ac:dyDescent="0.25">
      <c r="A3" s="4" t="s">
        <v>1</v>
      </c>
      <c r="B3" s="4" t="s">
        <v>2</v>
      </c>
      <c r="C3" s="4" t="s">
        <v>3</v>
      </c>
      <c r="E3" s="5" t="s">
        <v>4</v>
      </c>
    </row>
    <row r="4" spans="1:8" x14ac:dyDescent="0.25">
      <c r="A4" s="6" t="s">
        <v>5</v>
      </c>
      <c r="B4" s="6">
        <v>5262.26</v>
      </c>
      <c r="C4" s="7" cm="1">
        <f t="array" ref="C4:C16">ROUND(B4:B16*E4,2)</f>
        <v>77.62</v>
      </c>
      <c r="E4" s="8">
        <v>1.4749999999999999E-2</v>
      </c>
    </row>
    <row r="5" spans="1:8" x14ac:dyDescent="0.25">
      <c r="A5" s="6" t="s">
        <v>6</v>
      </c>
      <c r="B5" s="6">
        <v>5531.85</v>
      </c>
      <c r="C5" s="7">
        <v>81.59</v>
      </c>
    </row>
    <row r="6" spans="1:8" x14ac:dyDescent="0.25">
      <c r="A6" s="6" t="s">
        <v>7</v>
      </c>
      <c r="B6" s="6">
        <v>5867.76</v>
      </c>
      <c r="C6" s="7">
        <v>86.55</v>
      </c>
    </row>
    <row r="7" spans="1:8" x14ac:dyDescent="0.25">
      <c r="A7" s="6" t="s">
        <v>8</v>
      </c>
      <c r="B7" s="6">
        <v>4976.26</v>
      </c>
      <c r="C7" s="7">
        <v>73.400000000000006</v>
      </c>
    </row>
    <row r="8" spans="1:8" x14ac:dyDescent="0.25">
      <c r="A8" s="6" t="s">
        <v>9</v>
      </c>
      <c r="B8" s="6">
        <v>5938.27</v>
      </c>
      <c r="C8" s="7">
        <v>87.59</v>
      </c>
    </row>
    <row r="9" spans="1:8" x14ac:dyDescent="0.25">
      <c r="A9" s="6" t="s">
        <v>6</v>
      </c>
      <c r="B9" s="6">
        <v>4290.34</v>
      </c>
      <c r="C9" s="7">
        <v>63.28</v>
      </c>
    </row>
    <row r="10" spans="1:8" x14ac:dyDescent="0.25">
      <c r="A10" s="6" t="s">
        <v>10</v>
      </c>
      <c r="B10" s="6">
        <v>5000.3999999999996</v>
      </c>
      <c r="C10" s="7">
        <v>73.760000000000005</v>
      </c>
    </row>
    <row r="11" spans="1:8" x14ac:dyDescent="0.25">
      <c r="A11" s="6" t="s">
        <v>11</v>
      </c>
      <c r="B11" s="6">
        <v>4780.87</v>
      </c>
      <c r="C11" s="7">
        <v>70.52</v>
      </c>
    </row>
    <row r="12" spans="1:8" x14ac:dyDescent="0.25">
      <c r="A12" s="6" t="s">
        <v>12</v>
      </c>
      <c r="B12" s="6">
        <v>4536.95</v>
      </c>
      <c r="C12" s="7">
        <v>66.92</v>
      </c>
    </row>
    <row r="13" spans="1:8" x14ac:dyDescent="0.25">
      <c r="A13" s="6" t="s">
        <v>13</v>
      </c>
      <c r="B13" s="6">
        <v>4070.94</v>
      </c>
      <c r="C13" s="7">
        <v>60.05</v>
      </c>
    </row>
    <row r="14" spans="1:8" x14ac:dyDescent="0.25">
      <c r="A14" s="6" t="s">
        <v>14</v>
      </c>
      <c r="B14" s="6">
        <v>5018.7299999999996</v>
      </c>
      <c r="C14" s="7">
        <v>74.03</v>
      </c>
    </row>
    <row r="15" spans="1:8" x14ac:dyDescent="0.25">
      <c r="A15" s="6" t="s">
        <v>5</v>
      </c>
      <c r="B15" s="6">
        <v>4322.54</v>
      </c>
      <c r="C15" s="7">
        <v>63.76</v>
      </c>
    </row>
    <row r="16" spans="1:8" x14ac:dyDescent="0.25">
      <c r="A16" s="6" t="s">
        <v>15</v>
      </c>
      <c r="B16" s="6">
        <v>4969.74</v>
      </c>
      <c r="C16" s="7">
        <v>73.3</v>
      </c>
    </row>
    <row r="17" spans="1:3" x14ac:dyDescent="0.25">
      <c r="A17" s="6"/>
      <c r="B17" s="6" t="s">
        <v>16</v>
      </c>
      <c r="C17" s="9">
        <f>SUM(_xlfn.ANCHORARRAY(C4))</f>
        <v>952.36999999999978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8AF6-061E-4684-A4AC-C955E62A2DC0}">
  <sheetPr>
    <tabColor rgb="FFFF0000"/>
  </sheetPr>
  <dimension ref="A1:H17"/>
  <sheetViews>
    <sheetView zoomScale="190" zoomScaleNormal="190" workbookViewId="0">
      <selection activeCell="C18" sqref="C18"/>
    </sheetView>
  </sheetViews>
  <sheetFormatPr defaultRowHeight="15" x14ac:dyDescent="0.25"/>
  <cols>
    <col min="1" max="1" width="12.140625" customWidth="1"/>
    <col min="2" max="2" width="10.85546875" customWidth="1"/>
    <col min="3" max="3" width="13.7109375" bestFit="1" customWidth="1"/>
    <col min="7" max="7" width="22.140625" customWidth="1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3" spans="1:8" x14ac:dyDescent="0.25">
      <c r="A3" s="4" t="s">
        <v>1</v>
      </c>
      <c r="B3" s="4" t="s">
        <v>2</v>
      </c>
      <c r="C3" s="4" t="s">
        <v>3</v>
      </c>
      <c r="E3" s="5" t="s">
        <v>4</v>
      </c>
      <c r="G3" s="5" t="s">
        <v>17</v>
      </c>
    </row>
    <row r="4" spans="1:8" x14ac:dyDescent="0.25">
      <c r="A4" s="6" t="s">
        <v>5</v>
      </c>
      <c r="B4" s="6">
        <v>5262.26</v>
      </c>
      <c r="C4" s="10" cm="1">
        <f t="array" ref="C4:C16">ROUND(B4:B16*E4,2)</f>
        <v>77.62</v>
      </c>
      <c r="E4" s="8">
        <v>1.4749999999999999E-2</v>
      </c>
      <c r="G4" s="10" cm="1">
        <f t="array" ref="G4:G16">B4:B16*E4</f>
        <v>77.618335000000002</v>
      </c>
    </row>
    <row r="5" spans="1:8" x14ac:dyDescent="0.25">
      <c r="A5" s="6" t="s">
        <v>6</v>
      </c>
      <c r="B5" s="6">
        <v>5531.85</v>
      </c>
      <c r="C5" s="10">
        <v>81.59</v>
      </c>
      <c r="G5" s="10">
        <v>81.594787499999995</v>
      </c>
    </row>
    <row r="6" spans="1:8" x14ac:dyDescent="0.25">
      <c r="A6" s="6" t="s">
        <v>7</v>
      </c>
      <c r="B6" s="6">
        <v>5867.76</v>
      </c>
      <c r="C6" s="10">
        <v>86.55</v>
      </c>
      <c r="G6" s="10">
        <v>86.549459999999996</v>
      </c>
    </row>
    <row r="7" spans="1:8" x14ac:dyDescent="0.25">
      <c r="A7" s="6" t="s">
        <v>8</v>
      </c>
      <c r="B7" s="6">
        <v>4976.26</v>
      </c>
      <c r="C7" s="10">
        <v>73.400000000000006</v>
      </c>
      <c r="G7" s="10">
        <v>73.399834999999996</v>
      </c>
    </row>
    <row r="8" spans="1:8" x14ac:dyDescent="0.25">
      <c r="A8" s="6" t="s">
        <v>9</v>
      </c>
      <c r="B8" s="6">
        <v>5938.27</v>
      </c>
      <c r="C8" s="10">
        <v>87.59</v>
      </c>
      <c r="G8" s="10">
        <v>87.589482500000003</v>
      </c>
    </row>
    <row r="9" spans="1:8" x14ac:dyDescent="0.25">
      <c r="A9" s="6" t="s">
        <v>6</v>
      </c>
      <c r="B9" s="6">
        <v>4290.34</v>
      </c>
      <c r="C9" s="10">
        <v>63.28</v>
      </c>
      <c r="G9" s="10">
        <v>63.282514999999997</v>
      </c>
    </row>
    <row r="10" spans="1:8" x14ac:dyDescent="0.25">
      <c r="A10" s="6" t="s">
        <v>10</v>
      </c>
      <c r="B10" s="6">
        <v>5000.3999999999996</v>
      </c>
      <c r="C10" s="10">
        <v>73.760000000000005</v>
      </c>
      <c r="G10" s="10">
        <v>73.755899999999997</v>
      </c>
    </row>
    <row r="11" spans="1:8" x14ac:dyDescent="0.25">
      <c r="A11" s="6" t="s">
        <v>11</v>
      </c>
      <c r="B11" s="6">
        <v>4780.87</v>
      </c>
      <c r="C11" s="10">
        <v>70.52</v>
      </c>
      <c r="G11" s="10">
        <v>70.517832499999997</v>
      </c>
    </row>
    <row r="12" spans="1:8" x14ac:dyDescent="0.25">
      <c r="A12" s="6" t="s">
        <v>12</v>
      </c>
      <c r="B12" s="6">
        <v>4536.95</v>
      </c>
      <c r="C12" s="10">
        <v>66.92</v>
      </c>
      <c r="G12" s="10">
        <v>66.920012499999999</v>
      </c>
    </row>
    <row r="13" spans="1:8" x14ac:dyDescent="0.25">
      <c r="A13" s="6" t="s">
        <v>13</v>
      </c>
      <c r="B13" s="6">
        <v>4070.94</v>
      </c>
      <c r="C13" s="10">
        <v>60.05</v>
      </c>
      <c r="G13" s="10">
        <v>60.046364999999994</v>
      </c>
    </row>
    <row r="14" spans="1:8" x14ac:dyDescent="0.25">
      <c r="A14" s="6" t="s">
        <v>14</v>
      </c>
      <c r="B14" s="6">
        <v>5018.7299999999996</v>
      </c>
      <c r="C14" s="10">
        <v>74.03</v>
      </c>
      <c r="G14" s="10">
        <v>74.026267499999989</v>
      </c>
    </row>
    <row r="15" spans="1:8" x14ac:dyDescent="0.25">
      <c r="A15" s="6" t="s">
        <v>5</v>
      </c>
      <c r="B15" s="6">
        <v>4322.54</v>
      </c>
      <c r="C15" s="10">
        <v>63.76</v>
      </c>
      <c r="G15" s="10">
        <v>63.757464999999996</v>
      </c>
    </row>
    <row r="16" spans="1:8" x14ac:dyDescent="0.25">
      <c r="A16" s="6" t="s">
        <v>15</v>
      </c>
      <c r="B16" s="6">
        <v>4969.74</v>
      </c>
      <c r="C16" s="10">
        <v>73.3</v>
      </c>
      <c r="G16" s="10">
        <v>73.303664999999995</v>
      </c>
    </row>
    <row r="17" spans="1:7" x14ac:dyDescent="0.25">
      <c r="A17" s="6"/>
      <c r="B17" s="6" t="s">
        <v>16</v>
      </c>
      <c r="C17" s="11">
        <f>SUM(_xlfn.ANCHORARRAY(C4))</f>
        <v>952.36999999999978</v>
      </c>
      <c r="G17" s="11">
        <f>SUM(_xlfn.ANCHORARRAY(G4))</f>
        <v>952.36192249999999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8181-D31F-4661-B934-506429C95B7F}">
  <sheetPr>
    <tabColor rgb="FF0000FF"/>
  </sheetPr>
  <dimension ref="A1:H16"/>
  <sheetViews>
    <sheetView zoomScale="250" zoomScaleNormal="250" workbookViewId="0">
      <selection activeCell="C18" sqref="C18"/>
    </sheetView>
  </sheetViews>
  <sheetFormatPr defaultRowHeight="15" x14ac:dyDescent="0.25"/>
  <cols>
    <col min="1" max="1" width="12.140625" customWidth="1"/>
    <col min="2" max="2" width="10.85546875" customWidth="1"/>
    <col min="3" max="3" width="13.7109375" bestFit="1" customWidth="1"/>
    <col min="5" max="5" width="21.42578125" customWidth="1"/>
  </cols>
  <sheetData>
    <row r="1" spans="1:8" x14ac:dyDescent="0.25">
      <c r="A1" s="1" t="s">
        <v>18</v>
      </c>
      <c r="B1" s="2"/>
      <c r="C1" s="2"/>
      <c r="D1" s="2"/>
      <c r="E1" s="2"/>
      <c r="F1" s="2"/>
      <c r="G1" s="2"/>
      <c r="H1" s="3"/>
    </row>
    <row r="3" spans="1:8" x14ac:dyDescent="0.25">
      <c r="A3" s="4" t="s">
        <v>1</v>
      </c>
      <c r="B3" s="4" t="s">
        <v>19</v>
      </c>
      <c r="C3" s="4" t="s">
        <v>3</v>
      </c>
      <c r="E3" s="5" t="s">
        <v>4</v>
      </c>
    </row>
    <row r="4" spans="1:8" x14ac:dyDescent="0.25">
      <c r="A4" s="6" t="s">
        <v>5</v>
      </c>
      <c r="B4" s="6">
        <v>300</v>
      </c>
      <c r="C4" s="7">
        <f t="shared" ref="C4:C16" si="0">B4*$E$4</f>
        <v>31.424999999999997</v>
      </c>
      <c r="E4" s="12">
        <v>0.10475</v>
      </c>
    </row>
    <row r="5" spans="1:8" x14ac:dyDescent="0.25">
      <c r="A5" s="6" t="s">
        <v>6</v>
      </c>
      <c r="B5" s="6">
        <v>300</v>
      </c>
      <c r="C5" s="7">
        <f t="shared" si="0"/>
        <v>31.424999999999997</v>
      </c>
    </row>
    <row r="6" spans="1:8" x14ac:dyDescent="0.25">
      <c r="A6" s="6" t="s">
        <v>7</v>
      </c>
      <c r="B6" s="6">
        <v>300</v>
      </c>
      <c r="C6" s="7">
        <f t="shared" si="0"/>
        <v>31.424999999999997</v>
      </c>
    </row>
    <row r="7" spans="1:8" x14ac:dyDescent="0.25">
      <c r="A7" s="6" t="s">
        <v>8</v>
      </c>
      <c r="B7" s="6">
        <v>300</v>
      </c>
      <c r="C7" s="7">
        <f t="shared" si="0"/>
        <v>31.424999999999997</v>
      </c>
    </row>
    <row r="8" spans="1:8" x14ac:dyDescent="0.25">
      <c r="A8" s="6" t="s">
        <v>9</v>
      </c>
      <c r="B8" s="6">
        <v>300</v>
      </c>
      <c r="C8" s="7">
        <f t="shared" si="0"/>
        <v>31.424999999999997</v>
      </c>
    </row>
    <row r="9" spans="1:8" x14ac:dyDescent="0.25">
      <c r="A9" s="6" t="s">
        <v>6</v>
      </c>
      <c r="B9" s="6">
        <v>400</v>
      </c>
      <c r="C9" s="7">
        <f t="shared" si="0"/>
        <v>41.9</v>
      </c>
    </row>
    <row r="10" spans="1:8" x14ac:dyDescent="0.25">
      <c r="A10" s="6" t="s">
        <v>10</v>
      </c>
      <c r="B10" s="6">
        <v>300</v>
      </c>
      <c r="C10" s="7">
        <f t="shared" si="0"/>
        <v>31.424999999999997</v>
      </c>
    </row>
    <row r="11" spans="1:8" x14ac:dyDescent="0.25">
      <c r="A11" s="6" t="s">
        <v>11</v>
      </c>
      <c r="B11" s="6">
        <v>400</v>
      </c>
      <c r="C11" s="7">
        <f t="shared" si="0"/>
        <v>41.9</v>
      </c>
    </row>
    <row r="12" spans="1:8" x14ac:dyDescent="0.25">
      <c r="A12" s="6" t="s">
        <v>12</v>
      </c>
      <c r="B12" s="6">
        <v>300</v>
      </c>
      <c r="C12" s="7">
        <f t="shared" si="0"/>
        <v>31.424999999999997</v>
      </c>
    </row>
    <row r="13" spans="1:8" x14ac:dyDescent="0.25">
      <c r="A13" s="6" t="s">
        <v>13</v>
      </c>
      <c r="B13" s="6">
        <v>400</v>
      </c>
      <c r="C13" s="7">
        <f t="shared" si="0"/>
        <v>41.9</v>
      </c>
    </row>
    <row r="14" spans="1:8" x14ac:dyDescent="0.25">
      <c r="A14" s="6" t="s">
        <v>14</v>
      </c>
      <c r="B14" s="6">
        <v>400</v>
      </c>
      <c r="C14" s="7">
        <f t="shared" si="0"/>
        <v>41.9</v>
      </c>
    </row>
    <row r="15" spans="1:8" x14ac:dyDescent="0.25">
      <c r="A15" s="6" t="s">
        <v>5</v>
      </c>
      <c r="B15" s="6">
        <v>200</v>
      </c>
      <c r="C15" s="7">
        <f t="shared" si="0"/>
        <v>20.95</v>
      </c>
    </row>
    <row r="16" spans="1:8" x14ac:dyDescent="0.25">
      <c r="A16" s="6" t="s">
        <v>15</v>
      </c>
      <c r="B16" s="6">
        <v>400</v>
      </c>
      <c r="C16" s="7">
        <f t="shared" si="0"/>
        <v>41.9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B50F-A15B-4332-BB08-3FC702BBB166}">
  <sheetPr>
    <tabColor rgb="FFFF0000"/>
  </sheetPr>
  <dimension ref="A1:H16"/>
  <sheetViews>
    <sheetView tabSelected="1" zoomScale="115" zoomScaleNormal="115" workbookViewId="0">
      <selection activeCell="C18" sqref="C18"/>
    </sheetView>
  </sheetViews>
  <sheetFormatPr defaultRowHeight="15" x14ac:dyDescent="0.25"/>
  <cols>
    <col min="1" max="1" width="12.140625" customWidth="1"/>
    <col min="2" max="2" width="10.85546875" customWidth="1"/>
    <col min="3" max="3" width="13.7109375" bestFit="1" customWidth="1"/>
    <col min="5" max="5" width="21.42578125" customWidth="1"/>
  </cols>
  <sheetData>
    <row r="1" spans="1:8" x14ac:dyDescent="0.25">
      <c r="A1" s="1" t="s">
        <v>18</v>
      </c>
      <c r="B1" s="2"/>
      <c r="C1" s="2"/>
      <c r="D1" s="2"/>
      <c r="E1" s="2"/>
      <c r="F1" s="2"/>
      <c r="G1" s="2"/>
      <c r="H1" s="3"/>
    </row>
    <row r="3" spans="1:8" x14ac:dyDescent="0.25">
      <c r="A3" s="4" t="s">
        <v>1</v>
      </c>
      <c r="B3" s="4" t="s">
        <v>19</v>
      </c>
      <c r="C3" s="4" t="s">
        <v>3</v>
      </c>
      <c r="E3" s="5" t="s">
        <v>4</v>
      </c>
    </row>
    <row r="4" spans="1:8" x14ac:dyDescent="0.25">
      <c r="A4" s="6" t="s">
        <v>5</v>
      </c>
      <c r="B4" s="6">
        <v>300</v>
      </c>
      <c r="C4" s="7">
        <f t="shared" ref="C4:C16" si="0">B4*$E$4</f>
        <v>31.424999999999997</v>
      </c>
      <c r="E4" s="13">
        <v>0.10475</v>
      </c>
    </row>
    <row r="5" spans="1:8" x14ac:dyDescent="0.25">
      <c r="A5" s="6" t="s">
        <v>6</v>
      </c>
      <c r="B5" s="6">
        <v>300</v>
      </c>
      <c r="C5" s="7">
        <f t="shared" si="0"/>
        <v>31.424999999999997</v>
      </c>
    </row>
    <row r="6" spans="1:8" x14ac:dyDescent="0.25">
      <c r="A6" s="6" t="s">
        <v>7</v>
      </c>
      <c r="B6" s="6">
        <v>300</v>
      </c>
      <c r="C6" s="7">
        <f t="shared" si="0"/>
        <v>31.424999999999997</v>
      </c>
    </row>
    <row r="7" spans="1:8" x14ac:dyDescent="0.25">
      <c r="A7" s="6" t="s">
        <v>8</v>
      </c>
      <c r="B7" s="6">
        <v>300</v>
      </c>
      <c r="C7" s="7">
        <f t="shared" si="0"/>
        <v>31.424999999999997</v>
      </c>
      <c r="E7" t="s">
        <v>20</v>
      </c>
    </row>
    <row r="8" spans="1:8" x14ac:dyDescent="0.25">
      <c r="A8" s="6" t="s">
        <v>9</v>
      </c>
      <c r="B8" s="6">
        <v>300</v>
      </c>
      <c r="C8" s="7">
        <f t="shared" si="0"/>
        <v>31.424999999999997</v>
      </c>
      <c r="E8" t="s">
        <v>21</v>
      </c>
    </row>
    <row r="9" spans="1:8" x14ac:dyDescent="0.25">
      <c r="A9" s="6" t="s">
        <v>6</v>
      </c>
      <c r="B9" s="6">
        <v>400</v>
      </c>
      <c r="C9" s="7">
        <f t="shared" si="0"/>
        <v>41.9</v>
      </c>
      <c r="E9" t="s">
        <v>22</v>
      </c>
    </row>
    <row r="10" spans="1:8" x14ac:dyDescent="0.25">
      <c r="A10" s="6" t="s">
        <v>10</v>
      </c>
      <c r="B10" s="6">
        <v>300</v>
      </c>
      <c r="C10" s="7">
        <f t="shared" si="0"/>
        <v>31.424999999999997</v>
      </c>
      <c r="E10" t="s">
        <v>23</v>
      </c>
    </row>
    <row r="11" spans="1:8" x14ac:dyDescent="0.25">
      <c r="A11" s="6" t="s">
        <v>11</v>
      </c>
      <c r="B11" s="6">
        <v>400</v>
      </c>
      <c r="C11" s="7">
        <f t="shared" si="0"/>
        <v>41.9</v>
      </c>
      <c r="E11" t="s">
        <v>24</v>
      </c>
    </row>
    <row r="12" spans="1:8" x14ac:dyDescent="0.25">
      <c r="A12" s="6" t="s">
        <v>12</v>
      </c>
      <c r="B12" s="6">
        <v>300</v>
      </c>
      <c r="C12" s="7">
        <f t="shared" si="0"/>
        <v>31.424999999999997</v>
      </c>
    </row>
    <row r="13" spans="1:8" x14ac:dyDescent="0.25">
      <c r="A13" s="6" t="s">
        <v>13</v>
      </c>
      <c r="B13" s="6">
        <v>400</v>
      </c>
      <c r="C13" s="7">
        <f t="shared" si="0"/>
        <v>41.9</v>
      </c>
    </row>
    <row r="14" spans="1:8" x14ac:dyDescent="0.25">
      <c r="A14" s="6" t="s">
        <v>14</v>
      </c>
      <c r="B14" s="6">
        <v>400</v>
      </c>
      <c r="C14" s="7">
        <f t="shared" si="0"/>
        <v>41.9</v>
      </c>
    </row>
    <row r="15" spans="1:8" x14ac:dyDescent="0.25">
      <c r="A15" s="6" t="s">
        <v>5</v>
      </c>
      <c r="B15" s="6">
        <v>200</v>
      </c>
      <c r="C15" s="7">
        <f t="shared" si="0"/>
        <v>20.95</v>
      </c>
    </row>
    <row r="16" spans="1:8" x14ac:dyDescent="0.25">
      <c r="A16" s="6" t="s">
        <v>15</v>
      </c>
      <c r="B16" s="6">
        <v>400</v>
      </c>
      <c r="C16" s="7">
        <f t="shared" si="0"/>
        <v>41.9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HW(1)</vt:lpstr>
      <vt:lpstr>HW(1an)</vt:lpstr>
      <vt:lpstr>HW(2)</vt:lpstr>
      <vt:lpstr>HW(2an)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Martins</dc:creator>
  <cp:lastModifiedBy>João Martins</cp:lastModifiedBy>
  <dcterms:created xsi:type="dcterms:W3CDTF">2015-06-05T18:17:20Z</dcterms:created>
  <dcterms:modified xsi:type="dcterms:W3CDTF">2026-08-05T17:11:19Z</dcterms:modified>
</cp:coreProperties>
</file>