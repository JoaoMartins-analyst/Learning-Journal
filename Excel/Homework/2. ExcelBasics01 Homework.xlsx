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oão Martins\Documents\GitHub\Learning-Journal\Excel\Homework\"/>
    </mc:Choice>
  </mc:AlternateContent>
  <xr:revisionPtr revIDLastSave="0" documentId="8_{025F9E75-80A0-410A-B372-9ED7BF57B01A}" xr6:coauthVersionLast="47" xr6:coauthVersionMax="47" xr10:uidLastSave="{00000000-0000-0000-0000-000000000000}"/>
  <bookViews>
    <workbookView xWindow="4215" yWindow="3075" windowWidth="28800" windowHeight="15345" xr2:uid="{6A8536B4-A061-4AF0-A1C4-4198F05F0723}"/>
  </bookViews>
  <sheets>
    <sheet name="HW(1)" sheetId="1" r:id="rId1"/>
    <sheet name="HW(1an)" sheetId="2" r:id="rId2"/>
  </sheets>
  <definedNames>
    <definedName name="_xlnm.Print_Area" localSheetId="1">'HW(1an)'!$A$1:$R$32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6" i="2" l="1" a="1"/>
  <c r="C52" i="2" a="1"/>
  <c r="G20" i="2"/>
  <c r="B20" i="2"/>
  <c r="G17" i="2"/>
  <c r="B17" i="2" a="1"/>
  <c r="B16" i="2"/>
  <c r="M14" i="2"/>
  <c r="L14" i="2"/>
  <c r="K14" i="2"/>
  <c r="J14" i="2"/>
  <c r="I14" i="2"/>
  <c r="H14" i="2"/>
  <c r="G14" i="2"/>
  <c r="F14" i="2"/>
  <c r="E14" i="2"/>
  <c r="D14" i="2"/>
  <c r="C14" i="2"/>
  <c r="M13" i="2"/>
  <c r="N13" i="2" s="1"/>
  <c r="M12" i="2"/>
  <c r="N12" i="2" s="1"/>
  <c r="M11" i="2"/>
  <c r="N11" i="2" s="1"/>
  <c r="M10" i="2"/>
  <c r="N10" i="2" s="1"/>
  <c r="M9" i="2"/>
  <c r="N9" i="2" s="1"/>
  <c r="M8" i="2"/>
  <c r="N8" i="2" s="1"/>
  <c r="M7" i="2"/>
  <c r="N7" i="2" s="1"/>
  <c r="M6" i="2"/>
  <c r="N6" i="2" s="1"/>
  <c r="M3" i="2"/>
  <c r="M6" i="1" a="1"/>
  <c r="M3" i="1"/>
  <c r="N14" i="2" l="1"/>
  <c r="O6" i="2" a="1"/>
  <c r="O14" i="2" s="1"/>
  <c r="N13" i="1"/>
  <c r="N12" i="1"/>
  <c r="N11" i="1"/>
  <c r="N10" i="1"/>
  <c r="N9" i="1"/>
  <c r="N8" i="1"/>
  <c r="N7" i="1"/>
  <c r="N6" i="1"/>
  <c r="O6" i="1" l="1" a="1"/>
  <c r="C14" i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<sst xmlns="http://schemas.openxmlformats.org/spreadsheetml/2006/main" count="62" uniqueCount="28">
  <si>
    <t>Using the picture below, create the gradebook as shown in the picture below. A solution is also shown on the worksheet "HW(1an)".</t>
  </si>
  <si>
    <t>Total</t>
  </si>
  <si>
    <t>Extra Credit</t>
  </si>
  <si>
    <t>Max Points</t>
  </si>
  <si>
    <t>Student Name</t>
  </si>
  <si>
    <t>Test 1</t>
  </si>
  <si>
    <t>Test 2</t>
  </si>
  <si>
    <t>Test 3</t>
  </si>
  <si>
    <t>Test 4</t>
  </si>
  <si>
    <t>Test 5</t>
  </si>
  <si>
    <t>Test 6</t>
  </si>
  <si>
    <t>Midterm</t>
  </si>
  <si>
    <t>Test 7</t>
  </si>
  <si>
    <t>Final</t>
  </si>
  <si>
    <t>% Grade</t>
  </si>
  <si>
    <t>Decimal Grade</t>
  </si>
  <si>
    <t>Mohamed Aziz</t>
  </si>
  <si>
    <t>Timmy Cartman</t>
  </si>
  <si>
    <t>Gigi Gabar</t>
  </si>
  <si>
    <t>Miki Ito</t>
  </si>
  <si>
    <t>Shinnay Mims</t>
  </si>
  <si>
    <t>Kenny Noline</t>
  </si>
  <si>
    <t>Lin Pham</t>
  </si>
  <si>
    <t>Dean Washington</t>
  </si>
  <si>
    <t>Average</t>
  </si>
  <si>
    <t>MidTerm</t>
  </si>
  <si>
    <t>OR:</t>
  </si>
  <si>
    <t>Bottom of lookup table: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</si>
</sst>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2" fillId="3" borderId="1" xfId="0" applyFont="1" applyFill="1" applyBorder="1"/>
    <xf numFmtId="0" fontId="0" fillId="0" borderId="1" xfId="0" applyBorder="1"/>
    <xf numFmtId="0" fontId="0" fillId="4" borderId="1" xfId="0" applyFill="1" applyBorder="1"/>
    <xf numFmtId="164" fontId="2" fillId="3" borderId="1" xfId="0" applyNumberFormat="1" applyFont="1" applyFill="1" applyBorder="1"/>
    <xf numFmtId="164" fontId="0" fillId="0" borderId="1" xfId="0" applyNumberFormat="1" applyBorder="1"/>
    <xf numFmtId="1" fontId="0" fillId="4" borderId="1" xfId="0" applyNumberFormat="1" applyFill="1" applyBorder="1"/>
    <xf numFmtId="2" fontId="0" fillId="4" borderId="1" xfId="0" applyNumberFormat="1" applyFill="1" applyBorder="1"/>
    <xf numFmtId="0" fontId="1" fillId="0" borderId="0" xfId="0" applyFon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305456</xdr:colOff>
      <xdr:row>16</xdr:row>
      <xdr:rowOff>124115</xdr:rowOff>
    </xdr:from>
    <xdr:ext cx="9488632" cy="4713923"/>
    <xdr:pic>
      <xdr:nvPicPr>
        <xdr:cNvPr id="2" name="Picture 1" descr="A screenshot of a computer&#10;&#10;Description automatically generated">
          <a:extLst>
            <a:ext uri="{FF2B5EF4-FFF2-40B4-BE49-F238E27FC236}">
              <a16:creationId xmlns:a16="http://schemas.microsoft.com/office/drawing/2014/main" id="{BDB86F98-CEC8-40A5-B1E6-B2DFC85678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5456" y="3172115"/>
          <a:ext cx="9488632" cy="471392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116541</xdr:colOff>
      <xdr:row>21</xdr:row>
      <xdr:rowOff>143435</xdr:rowOff>
    </xdr:from>
    <xdr:to>
      <xdr:col>14</xdr:col>
      <xdr:colOff>771861</xdr:colOff>
      <xdr:row>31</xdr:row>
      <xdr:rowOff>151055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1D342C-5FEB-44E1-BE18-2E5D0531FF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8491" y="4143935"/>
          <a:ext cx="1474470" cy="1912620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A7B71-73AD-4916-8E81-1B683FE34709}">
  <sheetPr>
    <tabColor rgb="FF0000FF"/>
  </sheetPr>
  <dimension ref="A1:R42"/>
  <sheetViews>
    <sheetView tabSelected="1" zoomScale="115" zoomScaleNormal="115" workbookViewId="0">
      <selection activeCell="W20" sqref="W20"/>
    </sheetView>
  </sheetViews>
  <sheetFormatPr defaultRowHeight="15" x14ac:dyDescent="0.25"/>
  <cols>
    <col min="1" max="1" width="10.7109375" bestFit="1" customWidth="1"/>
    <col min="2" max="2" width="16.7109375" bestFit="1" customWidth="1"/>
    <col min="11" max="11" width="10.85546875" customWidth="1"/>
    <col min="14" max="14" width="12.28515625" customWidth="1"/>
    <col min="15" max="15" width="14" bestFit="1" customWidth="1"/>
    <col min="16" max="16" width="3.28515625" customWidth="1"/>
    <col min="18" max="18" width="14" bestFit="1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8" x14ac:dyDescent="0.25">
      <c r="M2" s="2" t="s">
        <v>1</v>
      </c>
      <c r="N2" s="2" t="s">
        <v>2</v>
      </c>
    </row>
    <row r="3" spans="1:18" x14ac:dyDescent="0.25">
      <c r="B3" s="2" t="s">
        <v>3</v>
      </c>
      <c r="C3" s="3">
        <v>50</v>
      </c>
      <c r="D3" s="3">
        <v>50</v>
      </c>
      <c r="E3" s="3">
        <v>50</v>
      </c>
      <c r="F3" s="3">
        <v>50</v>
      </c>
      <c r="G3" s="3">
        <v>50</v>
      </c>
      <c r="H3" s="3">
        <v>50</v>
      </c>
      <c r="I3" s="3">
        <v>100</v>
      </c>
      <c r="J3" s="3">
        <v>75</v>
      </c>
      <c r="K3" s="3">
        <v>75</v>
      </c>
      <c r="L3" s="3">
        <v>200</v>
      </c>
      <c r="M3" s="4">
        <f>SUM(C3:L3)</f>
        <v>750</v>
      </c>
      <c r="N3" s="3">
        <v>5</v>
      </c>
    </row>
    <row r="5" spans="1:18" x14ac:dyDescent="0.25"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10</v>
      </c>
      <c r="K5" s="2" t="s">
        <v>12</v>
      </c>
      <c r="L5" s="2" t="s">
        <v>13</v>
      </c>
      <c r="M5" s="2" t="s">
        <v>1</v>
      </c>
      <c r="N5" s="2" t="s">
        <v>14</v>
      </c>
      <c r="O5" s="2" t="s">
        <v>15</v>
      </c>
      <c r="Q5" s="5" t="s">
        <v>14</v>
      </c>
      <c r="R5" s="2" t="s">
        <v>15</v>
      </c>
    </row>
    <row r="6" spans="1:18" x14ac:dyDescent="0.25">
      <c r="B6" s="3" t="s">
        <v>16</v>
      </c>
      <c r="C6" s="3">
        <v>50</v>
      </c>
      <c r="D6" s="3">
        <v>49</v>
      </c>
      <c r="E6" s="3">
        <v>48</v>
      </c>
      <c r="F6" s="3">
        <v>49</v>
      </c>
      <c r="G6" s="3">
        <v>50</v>
      </c>
      <c r="H6" s="3">
        <v>33</v>
      </c>
      <c r="I6" s="3">
        <v>82</v>
      </c>
      <c r="J6" s="3">
        <v>50</v>
      </c>
      <c r="K6" s="3">
        <v>73</v>
      </c>
      <c r="L6" s="3">
        <v>175</v>
      </c>
      <c r="M6" s="4" cm="1">
        <f t="array" ref="M6:M13">_xlfn.BYROW(C6:L13,_xleta.SUM)+N3</f>
        <v>664</v>
      </c>
      <c r="N6" s="4">
        <f t="shared" ref="N6:N13" si="0">M6/$M$3</f>
        <v>0.88533333333333331</v>
      </c>
      <c r="O6" s="4" cm="1">
        <f t="array" ref="O6:O13">_xlfn.XLOOKUP(N6:N13,Q6:Q42,R6:R42,,-1)</f>
        <v>3.4</v>
      </c>
      <c r="Q6" s="6">
        <v>0</v>
      </c>
      <c r="R6" s="3">
        <v>0</v>
      </c>
    </row>
    <row r="7" spans="1:18" x14ac:dyDescent="0.25">
      <c r="B7" s="3" t="s">
        <v>17</v>
      </c>
      <c r="C7" s="3">
        <v>22</v>
      </c>
      <c r="D7" s="3">
        <v>36</v>
      </c>
      <c r="E7" s="3">
        <v>41</v>
      </c>
      <c r="F7" s="3">
        <v>33</v>
      </c>
      <c r="G7" s="3">
        <v>20</v>
      </c>
      <c r="H7" s="3">
        <v>48</v>
      </c>
      <c r="I7" s="3">
        <v>43</v>
      </c>
      <c r="J7" s="3">
        <v>40</v>
      </c>
      <c r="K7" s="3">
        <v>31</v>
      </c>
      <c r="L7" s="3">
        <v>142</v>
      </c>
      <c r="M7" s="4">
        <v>461</v>
      </c>
      <c r="N7" s="4">
        <f t="shared" si="0"/>
        <v>0.61466666666666669</v>
      </c>
      <c r="O7" s="4">
        <v>1.5</v>
      </c>
      <c r="Q7" s="6">
        <v>0.45</v>
      </c>
      <c r="R7" s="3">
        <v>0.5</v>
      </c>
    </row>
    <row r="8" spans="1:18" x14ac:dyDescent="0.25">
      <c r="B8" s="3" t="s">
        <v>18</v>
      </c>
      <c r="C8" s="3">
        <v>26</v>
      </c>
      <c r="D8" s="3">
        <v>30</v>
      </c>
      <c r="E8" s="3">
        <v>10</v>
      </c>
      <c r="F8" s="3">
        <v>37</v>
      </c>
      <c r="G8" s="3">
        <v>29</v>
      </c>
      <c r="H8" s="3">
        <v>14</v>
      </c>
      <c r="I8" s="3">
        <v>99</v>
      </c>
      <c r="J8" s="3">
        <v>62</v>
      </c>
      <c r="K8" s="3">
        <v>0</v>
      </c>
      <c r="L8" s="3">
        <v>184</v>
      </c>
      <c r="M8" s="4">
        <v>496</v>
      </c>
      <c r="N8" s="4">
        <f t="shared" si="0"/>
        <v>0.66133333333333333</v>
      </c>
      <c r="O8" s="4">
        <v>1.9</v>
      </c>
      <c r="Q8" s="6">
        <v>0.46500000000000002</v>
      </c>
      <c r="R8" s="3">
        <v>0.6</v>
      </c>
    </row>
    <row r="9" spans="1:18" x14ac:dyDescent="0.25">
      <c r="B9" s="3" t="s">
        <v>19</v>
      </c>
      <c r="C9" s="3">
        <v>41</v>
      </c>
      <c r="D9" s="3">
        <v>39</v>
      </c>
      <c r="E9" s="3">
        <v>38</v>
      </c>
      <c r="F9" s="3">
        <v>31</v>
      </c>
      <c r="G9" s="3">
        <v>37</v>
      </c>
      <c r="H9" s="3">
        <v>48</v>
      </c>
      <c r="I9" s="3">
        <v>77</v>
      </c>
      <c r="J9" s="3">
        <v>74</v>
      </c>
      <c r="K9" s="3">
        <v>70</v>
      </c>
      <c r="L9" s="3">
        <v>192</v>
      </c>
      <c r="M9" s="4">
        <v>652</v>
      </c>
      <c r="N9" s="4">
        <f t="shared" si="0"/>
        <v>0.86933333333333329</v>
      </c>
      <c r="O9" s="4">
        <v>3.2</v>
      </c>
      <c r="Q9" s="6">
        <v>0.48</v>
      </c>
      <c r="R9" s="3">
        <v>0.7</v>
      </c>
    </row>
    <row r="10" spans="1:18" x14ac:dyDescent="0.25">
      <c r="B10" s="3" t="s">
        <v>20</v>
      </c>
      <c r="C10" s="3">
        <v>46</v>
      </c>
      <c r="D10" s="3">
        <v>45</v>
      </c>
      <c r="E10" s="3">
        <v>41</v>
      </c>
      <c r="F10" s="3">
        <v>45</v>
      </c>
      <c r="G10" s="3">
        <v>49</v>
      </c>
      <c r="H10" s="3">
        <v>50</v>
      </c>
      <c r="I10" s="3">
        <v>85</v>
      </c>
      <c r="J10" s="3">
        <v>75</v>
      </c>
      <c r="K10" s="3">
        <v>75</v>
      </c>
      <c r="L10" s="3">
        <v>182</v>
      </c>
      <c r="M10" s="4">
        <v>698</v>
      </c>
      <c r="N10" s="4">
        <f t="shared" si="0"/>
        <v>0.93066666666666664</v>
      </c>
      <c r="O10" s="4">
        <v>3.7</v>
      </c>
      <c r="Q10" s="6">
        <v>0.495</v>
      </c>
      <c r="R10" s="3">
        <v>0.8</v>
      </c>
    </row>
    <row r="11" spans="1:18" x14ac:dyDescent="0.25">
      <c r="B11" s="3" t="s">
        <v>21</v>
      </c>
      <c r="C11" s="3">
        <v>46</v>
      </c>
      <c r="D11" s="3">
        <v>48</v>
      </c>
      <c r="E11" s="3">
        <v>46</v>
      </c>
      <c r="F11" s="3">
        <v>50</v>
      </c>
      <c r="G11" s="3">
        <v>48</v>
      </c>
      <c r="H11" s="3">
        <v>44</v>
      </c>
      <c r="I11" s="3">
        <v>99</v>
      </c>
      <c r="J11" s="3">
        <v>70</v>
      </c>
      <c r="K11" s="3">
        <v>68</v>
      </c>
      <c r="L11" s="3">
        <v>191</v>
      </c>
      <c r="M11" s="4">
        <v>715</v>
      </c>
      <c r="N11" s="4">
        <f t="shared" si="0"/>
        <v>0.95333333333333337</v>
      </c>
      <c r="O11" s="4">
        <v>3.8</v>
      </c>
      <c r="Q11" s="6">
        <v>0.51</v>
      </c>
      <c r="R11" s="3">
        <v>0.9</v>
      </c>
    </row>
    <row r="12" spans="1:18" x14ac:dyDescent="0.25">
      <c r="B12" s="3" t="s">
        <v>22</v>
      </c>
      <c r="C12" s="3">
        <v>15</v>
      </c>
      <c r="D12" s="3">
        <v>29</v>
      </c>
      <c r="E12" s="3">
        <v>22</v>
      </c>
      <c r="F12" s="3">
        <v>31</v>
      </c>
      <c r="G12" s="3">
        <v>37</v>
      </c>
      <c r="H12" s="3">
        <v>11</v>
      </c>
      <c r="I12" s="3">
        <v>55</v>
      </c>
      <c r="J12" s="3">
        <v>42</v>
      </c>
      <c r="K12" s="3">
        <v>36</v>
      </c>
      <c r="L12" s="3">
        <v>87</v>
      </c>
      <c r="M12" s="4">
        <v>370</v>
      </c>
      <c r="N12" s="4">
        <f t="shared" si="0"/>
        <v>0.49333333333333335</v>
      </c>
      <c r="O12" s="4">
        <v>0.7</v>
      </c>
      <c r="Q12" s="6">
        <v>0.52500000000000002</v>
      </c>
      <c r="R12" s="3">
        <v>1</v>
      </c>
    </row>
    <row r="13" spans="1:18" x14ac:dyDescent="0.25">
      <c r="B13" s="3" t="s">
        <v>23</v>
      </c>
      <c r="C13" s="3">
        <v>48</v>
      </c>
      <c r="D13" s="3">
        <v>49</v>
      </c>
      <c r="E13" s="3">
        <v>48</v>
      </c>
      <c r="F13" s="3">
        <v>45</v>
      </c>
      <c r="G13" s="3">
        <v>43</v>
      </c>
      <c r="H13" s="3">
        <v>45</v>
      </c>
      <c r="I13" s="3">
        <v>98</v>
      </c>
      <c r="J13" s="3">
        <v>71</v>
      </c>
      <c r="K13" s="3">
        <v>69</v>
      </c>
      <c r="L13" s="3">
        <v>195</v>
      </c>
      <c r="M13" s="4">
        <v>716</v>
      </c>
      <c r="N13" s="4">
        <f t="shared" si="0"/>
        <v>0.95466666666666666</v>
      </c>
      <c r="O13" s="4">
        <v>3.8</v>
      </c>
      <c r="Q13" s="6">
        <v>0.54</v>
      </c>
      <c r="R13" s="3">
        <v>1.1000000000000001</v>
      </c>
    </row>
    <row r="14" spans="1:18" x14ac:dyDescent="0.25">
      <c r="B14" s="2" t="s">
        <v>24</v>
      </c>
      <c r="C14" s="7" cm="1">
        <f t="array" ref="C14:O14">_xlfn.BYCOL(C6:O13,_xleta.AVERAGE)</f>
        <v>36.75</v>
      </c>
      <c r="D14" s="7">
        <v>40.625</v>
      </c>
      <c r="E14" s="7">
        <v>36.75</v>
      </c>
      <c r="F14" s="7">
        <v>40.125</v>
      </c>
      <c r="G14" s="7">
        <v>39.125</v>
      </c>
      <c r="H14" s="7">
        <v>36.625</v>
      </c>
      <c r="I14" s="7">
        <v>79.75</v>
      </c>
      <c r="J14" s="7">
        <v>60.5</v>
      </c>
      <c r="K14" s="7">
        <v>52.75</v>
      </c>
      <c r="L14" s="7">
        <v>168.5</v>
      </c>
      <c r="M14" s="4">
        <v>596.5</v>
      </c>
      <c r="N14" s="4">
        <v>0.79533333333333334</v>
      </c>
      <c r="O14" s="8">
        <v>2.75</v>
      </c>
      <c r="Q14" s="6">
        <v>0.55500000000000005</v>
      </c>
      <c r="R14" s="3">
        <v>1.2</v>
      </c>
    </row>
    <row r="15" spans="1:18" x14ac:dyDescent="0.25">
      <c r="Q15" s="6">
        <v>0.56999999999999995</v>
      </c>
      <c r="R15" s="3">
        <v>1.3</v>
      </c>
    </row>
    <row r="16" spans="1:18" x14ac:dyDescent="0.25">
      <c r="Q16" s="6">
        <v>0.58499999999999996</v>
      </c>
      <c r="R16" s="3">
        <v>1.4</v>
      </c>
    </row>
    <row r="17" spans="17:18" x14ac:dyDescent="0.25">
      <c r="Q17" s="6">
        <v>0.6</v>
      </c>
      <c r="R17" s="3">
        <v>1.5</v>
      </c>
    </row>
    <row r="18" spans="17:18" x14ac:dyDescent="0.25">
      <c r="Q18" s="6">
        <v>0.61499999999999999</v>
      </c>
      <c r="R18" s="3">
        <v>1.6</v>
      </c>
    </row>
    <row r="19" spans="17:18" x14ac:dyDescent="0.25">
      <c r="Q19" s="6">
        <v>0.63</v>
      </c>
      <c r="R19" s="3">
        <v>1.7</v>
      </c>
    </row>
    <row r="20" spans="17:18" x14ac:dyDescent="0.25">
      <c r="Q20" s="6">
        <v>0.64500000000000002</v>
      </c>
      <c r="R20" s="3">
        <v>1.8</v>
      </c>
    </row>
    <row r="21" spans="17:18" x14ac:dyDescent="0.25">
      <c r="Q21" s="6">
        <v>0.66</v>
      </c>
      <c r="R21" s="3">
        <v>1.9</v>
      </c>
    </row>
    <row r="22" spans="17:18" x14ac:dyDescent="0.25">
      <c r="Q22" s="6">
        <v>0.67500000000000004</v>
      </c>
      <c r="R22" s="3">
        <v>2</v>
      </c>
    </row>
    <row r="23" spans="17:18" x14ac:dyDescent="0.25">
      <c r="Q23" s="6">
        <v>0.69</v>
      </c>
      <c r="R23" s="3">
        <v>2.1</v>
      </c>
    </row>
    <row r="24" spans="17:18" x14ac:dyDescent="0.25">
      <c r="Q24" s="6">
        <v>0.70499999999999996</v>
      </c>
      <c r="R24" s="3">
        <v>2.2000000000000002</v>
      </c>
    </row>
    <row r="25" spans="17:18" x14ac:dyDescent="0.25">
      <c r="Q25" s="6">
        <v>0.72</v>
      </c>
      <c r="R25" s="3">
        <v>2.2999999999999998</v>
      </c>
    </row>
    <row r="26" spans="17:18" x14ac:dyDescent="0.25">
      <c r="Q26" s="6">
        <v>0.73499999999999999</v>
      </c>
      <c r="R26" s="3">
        <v>2.4</v>
      </c>
    </row>
    <row r="27" spans="17:18" x14ac:dyDescent="0.25">
      <c r="Q27" s="6">
        <v>0.75</v>
      </c>
      <c r="R27" s="3">
        <v>2.5</v>
      </c>
    </row>
    <row r="28" spans="17:18" x14ac:dyDescent="0.25">
      <c r="Q28" s="6">
        <v>0.76500000000000001</v>
      </c>
      <c r="R28" s="3">
        <v>2.6</v>
      </c>
    </row>
    <row r="29" spans="17:18" x14ac:dyDescent="0.25">
      <c r="Q29" s="6">
        <v>0.78</v>
      </c>
      <c r="R29" s="3">
        <v>2.7</v>
      </c>
    </row>
    <row r="30" spans="17:18" x14ac:dyDescent="0.25">
      <c r="Q30" s="6">
        <v>0.79500000000000004</v>
      </c>
      <c r="R30" s="3">
        <v>2.8</v>
      </c>
    </row>
    <row r="31" spans="17:18" x14ac:dyDescent="0.25">
      <c r="Q31" s="6">
        <v>0.81</v>
      </c>
      <c r="R31" s="3">
        <v>2.9</v>
      </c>
    </row>
    <row r="32" spans="17:18" x14ac:dyDescent="0.25">
      <c r="Q32" s="6">
        <v>0.82499999999999996</v>
      </c>
      <c r="R32" s="3">
        <v>3</v>
      </c>
    </row>
    <row r="33" spans="17:18" x14ac:dyDescent="0.25">
      <c r="Q33" s="6">
        <v>0.84</v>
      </c>
      <c r="R33" s="3">
        <v>3.1</v>
      </c>
    </row>
    <row r="34" spans="17:18" x14ac:dyDescent="0.25">
      <c r="Q34" s="6">
        <v>0.85499999999999998</v>
      </c>
      <c r="R34" s="3">
        <v>3.2</v>
      </c>
    </row>
    <row r="35" spans="17:18" x14ac:dyDescent="0.25">
      <c r="Q35" s="6">
        <v>0.87</v>
      </c>
      <c r="R35" s="3">
        <v>3.3</v>
      </c>
    </row>
    <row r="36" spans="17:18" x14ac:dyDescent="0.25">
      <c r="Q36" s="6">
        <v>0.88500000000000001</v>
      </c>
      <c r="R36" s="3">
        <v>3.4</v>
      </c>
    </row>
    <row r="37" spans="17:18" x14ac:dyDescent="0.25">
      <c r="Q37" s="6">
        <v>0.9</v>
      </c>
      <c r="R37" s="3">
        <v>3.5</v>
      </c>
    </row>
    <row r="38" spans="17:18" x14ac:dyDescent="0.25">
      <c r="Q38" s="6">
        <v>0.91500000000000004</v>
      </c>
      <c r="R38" s="3">
        <v>3.6</v>
      </c>
    </row>
    <row r="39" spans="17:18" x14ac:dyDescent="0.25">
      <c r="Q39" s="6">
        <v>0.93</v>
      </c>
      <c r="R39" s="3">
        <v>3.7</v>
      </c>
    </row>
    <row r="40" spans="17:18" x14ac:dyDescent="0.25">
      <c r="Q40" s="6">
        <v>0.94499999999999995</v>
      </c>
      <c r="R40" s="3">
        <v>3.8</v>
      </c>
    </row>
    <row r="41" spans="17:18" x14ac:dyDescent="0.25">
      <c r="Q41" s="6">
        <v>0.96</v>
      </c>
      <c r="R41" s="3">
        <v>3.9</v>
      </c>
    </row>
    <row r="42" spans="17:18" x14ac:dyDescent="0.25">
      <c r="Q42" s="6">
        <v>0.97499999999999998</v>
      </c>
      <c r="R42" s="3">
        <v>4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823EB-CB78-4DA1-B022-83B23CD6853D}">
  <sheetPr>
    <tabColor rgb="FFFF0000"/>
    <pageSetUpPr fitToPage="1"/>
  </sheetPr>
  <dimension ref="B2:R64"/>
  <sheetViews>
    <sheetView zoomScale="85" zoomScaleNormal="85" workbookViewId="0">
      <selection activeCell="W20" sqref="W20"/>
    </sheetView>
  </sheetViews>
  <sheetFormatPr defaultRowHeight="15" x14ac:dyDescent="0.25"/>
  <cols>
    <col min="1" max="1" width="3.7109375" customWidth="1"/>
    <col min="2" max="2" width="15.42578125" bestFit="1" customWidth="1"/>
    <col min="14" max="14" width="12.28515625" customWidth="1"/>
    <col min="15" max="15" width="13.42578125" customWidth="1"/>
    <col min="16" max="16" width="2.28515625" customWidth="1"/>
    <col min="18" max="18" width="12.85546875" bestFit="1" customWidth="1"/>
  </cols>
  <sheetData>
    <row r="2" spans="2:18" x14ac:dyDescent="0.25">
      <c r="M2" s="2" t="s">
        <v>1</v>
      </c>
      <c r="N2" s="2" t="s">
        <v>2</v>
      </c>
    </row>
    <row r="3" spans="2:18" x14ac:dyDescent="0.25">
      <c r="B3" s="2" t="s">
        <v>3</v>
      </c>
      <c r="C3" s="3">
        <v>50</v>
      </c>
      <c r="D3" s="3">
        <v>50</v>
      </c>
      <c r="E3" s="3">
        <v>50</v>
      </c>
      <c r="F3" s="3">
        <v>50</v>
      </c>
      <c r="G3" s="3">
        <v>50</v>
      </c>
      <c r="H3" s="3">
        <v>50</v>
      </c>
      <c r="I3" s="3">
        <v>100</v>
      </c>
      <c r="J3" s="3">
        <v>75</v>
      </c>
      <c r="K3" s="3">
        <v>75</v>
      </c>
      <c r="L3" s="3">
        <v>200</v>
      </c>
      <c r="M3" s="4">
        <f>SUM(C3:L3)</f>
        <v>750</v>
      </c>
      <c r="N3" s="3">
        <v>5</v>
      </c>
    </row>
    <row r="5" spans="2:18" x14ac:dyDescent="0.25"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25</v>
      </c>
      <c r="J5" s="2" t="s">
        <v>10</v>
      </c>
      <c r="K5" s="2" t="s">
        <v>12</v>
      </c>
      <c r="L5" s="2" t="s">
        <v>13</v>
      </c>
      <c r="M5" s="2" t="s">
        <v>1</v>
      </c>
      <c r="N5" s="2" t="s">
        <v>14</v>
      </c>
      <c r="O5" s="2" t="s">
        <v>15</v>
      </c>
      <c r="Q5" s="2" t="s">
        <v>14</v>
      </c>
      <c r="R5" s="2" t="s">
        <v>15</v>
      </c>
    </row>
    <row r="6" spans="2:18" x14ac:dyDescent="0.25">
      <c r="B6" s="3" t="s">
        <v>16</v>
      </c>
      <c r="C6" s="3">
        <v>50</v>
      </c>
      <c r="D6" s="3">
        <v>49</v>
      </c>
      <c r="E6" s="3">
        <v>48</v>
      </c>
      <c r="F6" s="3">
        <v>49</v>
      </c>
      <c r="G6" s="3">
        <v>50</v>
      </c>
      <c r="H6" s="3">
        <v>33</v>
      </c>
      <c r="I6" s="3">
        <v>82</v>
      </c>
      <c r="J6" s="3">
        <v>50</v>
      </c>
      <c r="K6" s="3">
        <v>73</v>
      </c>
      <c r="L6" s="3">
        <v>175</v>
      </c>
      <c r="M6" s="4">
        <f t="shared" ref="M6:M13" si="0">SUM(C6:L6)+$N$3</f>
        <v>664</v>
      </c>
      <c r="N6" s="4">
        <f t="shared" ref="N6:N13" si="1">M6/$M$3</f>
        <v>0.88533333333333331</v>
      </c>
      <c r="O6" s="4" cm="1">
        <f t="array" ref="O6:O13">_xlfn.XLOOKUP(N6:N13,Q6:Q40,R6:R40,,-1)</f>
        <v>3.4</v>
      </c>
      <c r="Q6" s="3">
        <v>0</v>
      </c>
      <c r="R6" s="3">
        <v>0</v>
      </c>
    </row>
    <row r="7" spans="2:18" x14ac:dyDescent="0.25">
      <c r="B7" s="3" t="s">
        <v>17</v>
      </c>
      <c r="C7" s="3">
        <v>22</v>
      </c>
      <c r="D7" s="3">
        <v>36</v>
      </c>
      <c r="E7" s="3">
        <v>41</v>
      </c>
      <c r="F7" s="3">
        <v>33</v>
      </c>
      <c r="G7" s="3">
        <v>20</v>
      </c>
      <c r="H7" s="3">
        <v>48</v>
      </c>
      <c r="I7" s="3">
        <v>43</v>
      </c>
      <c r="J7" s="3">
        <v>40</v>
      </c>
      <c r="K7" s="3">
        <v>31</v>
      </c>
      <c r="L7" s="3">
        <v>142</v>
      </c>
      <c r="M7" s="4">
        <f t="shared" si="0"/>
        <v>461</v>
      </c>
      <c r="N7" s="4">
        <f t="shared" si="1"/>
        <v>0.61466666666666669</v>
      </c>
      <c r="O7" s="4">
        <v>1.5</v>
      </c>
      <c r="Q7" s="6">
        <v>0.45</v>
      </c>
      <c r="R7" s="3">
        <v>0.5</v>
      </c>
    </row>
    <row r="8" spans="2:18" x14ac:dyDescent="0.25">
      <c r="B8" s="3" t="s">
        <v>18</v>
      </c>
      <c r="C8" s="3">
        <v>26</v>
      </c>
      <c r="D8" s="3">
        <v>30</v>
      </c>
      <c r="E8" s="3">
        <v>10</v>
      </c>
      <c r="F8" s="3">
        <v>37</v>
      </c>
      <c r="G8" s="3">
        <v>29</v>
      </c>
      <c r="H8" s="3">
        <v>14</v>
      </c>
      <c r="I8" s="3">
        <v>99</v>
      </c>
      <c r="J8" s="3">
        <v>62</v>
      </c>
      <c r="K8" s="3">
        <v>0</v>
      </c>
      <c r="L8" s="3">
        <v>184</v>
      </c>
      <c r="M8" s="4">
        <f t="shared" si="0"/>
        <v>496</v>
      </c>
      <c r="N8" s="4">
        <f t="shared" si="1"/>
        <v>0.66133333333333333</v>
      </c>
      <c r="O8" s="4">
        <v>1.9</v>
      </c>
      <c r="Q8" s="6">
        <v>0.46500000000000002</v>
      </c>
      <c r="R8" s="3">
        <v>0.6</v>
      </c>
    </row>
    <row r="9" spans="2:18" x14ac:dyDescent="0.25">
      <c r="B9" s="3" t="s">
        <v>19</v>
      </c>
      <c r="C9" s="3">
        <v>41</v>
      </c>
      <c r="D9" s="3">
        <v>39</v>
      </c>
      <c r="E9" s="3">
        <v>38</v>
      </c>
      <c r="F9" s="3">
        <v>31</v>
      </c>
      <c r="G9" s="3">
        <v>37</v>
      </c>
      <c r="H9" s="3">
        <v>48</v>
      </c>
      <c r="I9" s="3">
        <v>77</v>
      </c>
      <c r="J9" s="3">
        <v>74</v>
      </c>
      <c r="K9" s="3">
        <v>70</v>
      </c>
      <c r="L9" s="3">
        <v>192</v>
      </c>
      <c r="M9" s="4">
        <f t="shared" si="0"/>
        <v>652</v>
      </c>
      <c r="N9" s="4">
        <f t="shared" si="1"/>
        <v>0.86933333333333329</v>
      </c>
      <c r="O9" s="4">
        <v>3.2</v>
      </c>
      <c r="Q9" s="6">
        <v>0.48</v>
      </c>
      <c r="R9" s="3">
        <v>0.7</v>
      </c>
    </row>
    <row r="10" spans="2:18" x14ac:dyDescent="0.25">
      <c r="B10" s="3" t="s">
        <v>20</v>
      </c>
      <c r="C10" s="3">
        <v>46</v>
      </c>
      <c r="D10" s="3">
        <v>45</v>
      </c>
      <c r="E10" s="3">
        <v>41</v>
      </c>
      <c r="F10" s="3">
        <v>45</v>
      </c>
      <c r="G10" s="3">
        <v>49</v>
      </c>
      <c r="H10" s="3">
        <v>50</v>
      </c>
      <c r="I10" s="3">
        <v>85</v>
      </c>
      <c r="J10" s="3">
        <v>75</v>
      </c>
      <c r="K10" s="3">
        <v>75</v>
      </c>
      <c r="L10" s="3">
        <v>182</v>
      </c>
      <c r="M10" s="4">
        <f t="shared" si="0"/>
        <v>698</v>
      </c>
      <c r="N10" s="4">
        <f t="shared" si="1"/>
        <v>0.93066666666666664</v>
      </c>
      <c r="O10" s="4">
        <v>3.7</v>
      </c>
      <c r="Q10" s="6">
        <v>0.495</v>
      </c>
      <c r="R10" s="3">
        <v>0.8</v>
      </c>
    </row>
    <row r="11" spans="2:18" x14ac:dyDescent="0.25">
      <c r="B11" s="3" t="s">
        <v>21</v>
      </c>
      <c r="C11" s="3">
        <v>46</v>
      </c>
      <c r="D11" s="3">
        <v>48</v>
      </c>
      <c r="E11" s="3">
        <v>46</v>
      </c>
      <c r="F11" s="3">
        <v>50</v>
      </c>
      <c r="G11" s="3">
        <v>48</v>
      </c>
      <c r="H11" s="3">
        <v>44</v>
      </c>
      <c r="I11" s="3">
        <v>99</v>
      </c>
      <c r="J11" s="3">
        <v>70</v>
      </c>
      <c r="K11" s="3">
        <v>68</v>
      </c>
      <c r="L11" s="3">
        <v>191</v>
      </c>
      <c r="M11" s="4">
        <f t="shared" si="0"/>
        <v>715</v>
      </c>
      <c r="N11" s="4">
        <f t="shared" si="1"/>
        <v>0.95333333333333337</v>
      </c>
      <c r="O11" s="4">
        <v>3.8</v>
      </c>
      <c r="Q11" s="6">
        <v>0.51</v>
      </c>
      <c r="R11" s="3">
        <v>0.9</v>
      </c>
    </row>
    <row r="12" spans="2:18" x14ac:dyDescent="0.25">
      <c r="B12" s="3" t="s">
        <v>22</v>
      </c>
      <c r="C12" s="3">
        <v>15</v>
      </c>
      <c r="D12" s="3">
        <v>29</v>
      </c>
      <c r="E12" s="3">
        <v>22</v>
      </c>
      <c r="F12" s="3">
        <v>31</v>
      </c>
      <c r="G12" s="3">
        <v>37</v>
      </c>
      <c r="H12" s="3">
        <v>11</v>
      </c>
      <c r="I12" s="3">
        <v>55</v>
      </c>
      <c r="J12" s="3">
        <v>42</v>
      </c>
      <c r="K12" s="3">
        <v>36</v>
      </c>
      <c r="L12" s="3">
        <v>87</v>
      </c>
      <c r="M12" s="4">
        <f t="shared" si="0"/>
        <v>370</v>
      </c>
      <c r="N12" s="4">
        <f t="shared" si="1"/>
        <v>0.49333333333333335</v>
      </c>
      <c r="O12" s="4">
        <v>0.7</v>
      </c>
      <c r="Q12" s="6">
        <v>0.52500000000000002</v>
      </c>
      <c r="R12" s="3">
        <v>1</v>
      </c>
    </row>
    <row r="13" spans="2:18" x14ac:dyDescent="0.25">
      <c r="B13" s="3" t="s">
        <v>23</v>
      </c>
      <c r="C13" s="3">
        <v>48</v>
      </c>
      <c r="D13" s="3">
        <v>49</v>
      </c>
      <c r="E13" s="3">
        <v>48</v>
      </c>
      <c r="F13" s="3">
        <v>45</v>
      </c>
      <c r="G13" s="3">
        <v>43</v>
      </c>
      <c r="H13" s="3">
        <v>45</v>
      </c>
      <c r="I13" s="3">
        <v>98</v>
      </c>
      <c r="J13" s="3">
        <v>71</v>
      </c>
      <c r="K13" s="3">
        <v>69</v>
      </c>
      <c r="L13" s="3">
        <v>195</v>
      </c>
      <c r="M13" s="4">
        <f t="shared" si="0"/>
        <v>716</v>
      </c>
      <c r="N13" s="4">
        <f t="shared" si="1"/>
        <v>0.95466666666666666</v>
      </c>
      <c r="O13" s="4">
        <v>3.8</v>
      </c>
      <c r="Q13" s="6">
        <v>0.54</v>
      </c>
      <c r="R13" s="3">
        <v>1.1000000000000001</v>
      </c>
    </row>
    <row r="14" spans="2:18" x14ac:dyDescent="0.25">
      <c r="B14" s="2" t="s">
        <v>24</v>
      </c>
      <c r="C14" s="7">
        <f t="shared" ref="C14:O14" si="2">AVERAGE(C6:C13)</f>
        <v>36.75</v>
      </c>
      <c r="D14" s="7">
        <f t="shared" si="2"/>
        <v>40.625</v>
      </c>
      <c r="E14" s="7">
        <f t="shared" si="2"/>
        <v>36.75</v>
      </c>
      <c r="F14" s="7">
        <f t="shared" si="2"/>
        <v>40.125</v>
      </c>
      <c r="G14" s="7">
        <f t="shared" si="2"/>
        <v>39.125</v>
      </c>
      <c r="H14" s="7">
        <f t="shared" si="2"/>
        <v>36.625</v>
      </c>
      <c r="I14" s="7">
        <f t="shared" si="2"/>
        <v>79.75</v>
      </c>
      <c r="J14" s="7">
        <f t="shared" si="2"/>
        <v>60.5</v>
      </c>
      <c r="K14" s="7">
        <f t="shared" si="2"/>
        <v>52.75</v>
      </c>
      <c r="L14" s="7">
        <f t="shared" si="2"/>
        <v>168.5</v>
      </c>
      <c r="M14" s="7">
        <f t="shared" si="2"/>
        <v>596.5</v>
      </c>
      <c r="N14" s="4">
        <f t="shared" si="2"/>
        <v>0.79533333333333334</v>
      </c>
      <c r="O14" s="4">
        <f t="shared" si="2"/>
        <v>2.75</v>
      </c>
      <c r="Q14" s="6">
        <v>0.55500000000000005</v>
      </c>
      <c r="R14" s="3">
        <v>1.2</v>
      </c>
    </row>
    <row r="15" spans="2:18" x14ac:dyDescent="0.25">
      <c r="Q15" s="6">
        <v>0.56999999999999995</v>
      </c>
      <c r="R15" s="3">
        <v>1.3</v>
      </c>
    </row>
    <row r="16" spans="2:18" x14ac:dyDescent="0.25">
      <c r="B16" t="str">
        <f ca="1">_xlfn.IFNA("Formula in cell "&amp;ADDRESS(ROW(M3),COLUMN(M3),4)&amp;": "&amp;_xlfn.FORMULATEXT(M3),"")</f>
        <v>Formula in cell M3: =SUM(C3:L3)</v>
      </c>
      <c r="Q16" s="6">
        <v>0.58499999999999996</v>
      </c>
      <c r="R16" s="3">
        <v>1.4</v>
      </c>
    </row>
    <row r="17" spans="2:18" x14ac:dyDescent="0.25">
      <c r="B17" t="str" cm="1">
        <f t="array" aca="1" ref="B17:B19" ca="1">_xlfn.TOCOL(_xlfn.IFNA("Formula in cell "&amp;ADDRESS(ROW(M6:O6),COLUMN(M6:O6),4)&amp;": "&amp;_xlfn.FORMULATEXT(M6:O6),""))</f>
        <v>Formula in cell M6: =SUM(C6:L6)+$N$3</v>
      </c>
      <c r="F17" s="9" t="s">
        <v>26</v>
      </c>
      <c r="G17" t="str">
        <f ca="1">_xlfn.IFNA("Formula in cell "&amp;ADDRESS(ROW(M6),COLUMN(M6),4)&amp;": "&amp;_xlfn.FORMULATEXT(B56),"")</f>
        <v>Formula in cell M6: =BYROW(C6:L13,SUM)+N3</v>
      </c>
      <c r="Q17" s="6">
        <v>0.6</v>
      </c>
      <c r="R17" s="3">
        <v>1.5</v>
      </c>
    </row>
    <row r="18" spans="2:18" x14ac:dyDescent="0.25">
      <c r="B18" t="str">
        <f ca="1"/>
        <v>Formula in cell N6: =M6/$M$3</v>
      </c>
      <c r="Q18" s="6">
        <v>0.61499999999999999</v>
      </c>
      <c r="R18" s="3">
        <v>1.6</v>
      </c>
    </row>
    <row r="19" spans="2:18" x14ac:dyDescent="0.25">
      <c r="B19" t="str">
        <f ca="1"/>
        <v>Formula in cell O6: =XLOOKUP(N6:N13,Q6:Q40,R6:R40,,-1)</v>
      </c>
      <c r="Q19" s="6">
        <v>0.63</v>
      </c>
      <c r="R19" s="3">
        <v>1.7</v>
      </c>
    </row>
    <row r="20" spans="2:18" x14ac:dyDescent="0.25">
      <c r="B20" t="str">
        <f ca="1">_xlfn.IFNA("Formula in cell "&amp;ADDRESS(ROW(C14),COLUMN(C14),4)&amp;": "&amp;_xlfn.FORMULATEXT(C14),"")</f>
        <v>Formula in cell C14: =AVERAGE(C6:C13)</v>
      </c>
      <c r="F20" s="9" t="s">
        <v>26</v>
      </c>
      <c r="G20" t="str">
        <f ca="1">_xlfn.IFNA("Formula in cell "&amp;ADDRESS(ROW(C14),COLUMN(C14),4)&amp;": "&amp;_xlfn.FORMULATEXT(C52),"")</f>
        <v>Formula in cell C14: =BYCOL(C6:L13,AVERAGE)</v>
      </c>
      <c r="Q20" s="6">
        <v>0.64500000000000002</v>
      </c>
      <c r="R20" s="3">
        <v>1.8</v>
      </c>
    </row>
    <row r="21" spans="2:18" x14ac:dyDescent="0.25">
      <c r="M21" s="10" t="s">
        <v>27</v>
      </c>
      <c r="Q21" s="6">
        <v>0.66</v>
      </c>
      <c r="R21" s="3">
        <v>1.9</v>
      </c>
    </row>
    <row r="22" spans="2:18" x14ac:dyDescent="0.25">
      <c r="Q22" s="6">
        <v>0.67500000000000004</v>
      </c>
      <c r="R22" s="3">
        <v>2</v>
      </c>
    </row>
    <row r="23" spans="2:18" x14ac:dyDescent="0.25">
      <c r="Q23" s="6">
        <v>0.69</v>
      </c>
      <c r="R23" s="3">
        <v>2.1</v>
      </c>
    </row>
    <row r="24" spans="2:18" x14ac:dyDescent="0.25">
      <c r="Q24" s="6">
        <v>0.70499999999999996</v>
      </c>
      <c r="R24" s="3">
        <v>2.2000000000000002</v>
      </c>
    </row>
    <row r="25" spans="2:18" x14ac:dyDescent="0.25">
      <c r="Q25" s="6">
        <v>0.72</v>
      </c>
      <c r="R25" s="3">
        <v>2.2999999999999998</v>
      </c>
    </row>
    <row r="26" spans="2:18" x14ac:dyDescent="0.25">
      <c r="Q26" s="6">
        <v>0.73499999999999999</v>
      </c>
      <c r="R26" s="3">
        <v>2.4</v>
      </c>
    </row>
    <row r="27" spans="2:18" x14ac:dyDescent="0.25">
      <c r="Q27" s="6">
        <v>0.75</v>
      </c>
      <c r="R27" s="3">
        <v>2.5</v>
      </c>
    </row>
    <row r="28" spans="2:18" x14ac:dyDescent="0.25">
      <c r="Q28" s="6">
        <v>0.76500000000000001</v>
      </c>
      <c r="R28" s="3">
        <v>2.6</v>
      </c>
    </row>
    <row r="29" spans="2:18" x14ac:dyDescent="0.25">
      <c r="Q29" s="6">
        <v>0.78</v>
      </c>
      <c r="R29" s="3">
        <v>2.7</v>
      </c>
    </row>
    <row r="30" spans="2:18" x14ac:dyDescent="0.25">
      <c r="Q30" s="6">
        <v>0.79500000000000004</v>
      </c>
      <c r="R30" s="3">
        <v>2.8</v>
      </c>
    </row>
    <row r="31" spans="2:18" x14ac:dyDescent="0.25">
      <c r="Q31" s="6">
        <v>0.81</v>
      </c>
      <c r="R31" s="3">
        <v>2.9</v>
      </c>
    </row>
    <row r="32" spans="2:18" x14ac:dyDescent="0.25">
      <c r="Q32" s="6">
        <v>0.82499999999999996</v>
      </c>
      <c r="R32" s="3">
        <v>3</v>
      </c>
    </row>
    <row r="33" spans="17:18" x14ac:dyDescent="0.25">
      <c r="Q33" s="6">
        <v>0.84</v>
      </c>
      <c r="R33" s="3">
        <v>3.1</v>
      </c>
    </row>
    <row r="34" spans="17:18" x14ac:dyDescent="0.25">
      <c r="Q34" s="6">
        <v>0.85499999999999998</v>
      </c>
      <c r="R34" s="3">
        <v>3.2</v>
      </c>
    </row>
    <row r="35" spans="17:18" x14ac:dyDescent="0.25">
      <c r="Q35" s="6">
        <v>0.87</v>
      </c>
      <c r="R35" s="3">
        <v>3.3</v>
      </c>
    </row>
    <row r="36" spans="17:18" x14ac:dyDescent="0.25">
      <c r="Q36" s="6">
        <v>0.88500000000000001</v>
      </c>
      <c r="R36" s="3">
        <v>3.4</v>
      </c>
    </row>
    <row r="37" spans="17:18" x14ac:dyDescent="0.25">
      <c r="Q37" s="6">
        <v>0.9</v>
      </c>
      <c r="R37" s="3">
        <v>3.5</v>
      </c>
    </row>
    <row r="38" spans="17:18" x14ac:dyDescent="0.25">
      <c r="Q38" s="6">
        <v>0.91500000000000004</v>
      </c>
      <c r="R38" s="3">
        <v>3.6</v>
      </c>
    </row>
    <row r="39" spans="17:18" x14ac:dyDescent="0.25">
      <c r="Q39" s="6">
        <v>0.93</v>
      </c>
      <c r="R39" s="3">
        <v>3.7</v>
      </c>
    </row>
    <row r="40" spans="17:18" x14ac:dyDescent="0.25">
      <c r="Q40" s="6">
        <v>0.94499999999999995</v>
      </c>
      <c r="R40" s="3">
        <v>3.8</v>
      </c>
    </row>
    <row r="41" spans="17:18" x14ac:dyDescent="0.25">
      <c r="Q41" s="6">
        <v>0.96</v>
      </c>
      <c r="R41" s="3">
        <v>3.9</v>
      </c>
    </row>
    <row r="42" spans="17:18" x14ac:dyDescent="0.25">
      <c r="Q42" s="6">
        <v>0.97499999999999998</v>
      </c>
      <c r="R42" s="3">
        <v>4</v>
      </c>
    </row>
    <row r="52" spans="2:15" x14ac:dyDescent="0.25">
      <c r="B52" s="2" t="s">
        <v>24</v>
      </c>
      <c r="C52" s="7" cm="1">
        <f t="array" ref="C52:L52">_xlfn.BYCOL(C6:L13,_xleta.AVERAGE)</f>
        <v>36.75</v>
      </c>
      <c r="D52" s="7">
        <v>40.625</v>
      </c>
      <c r="E52" s="7">
        <v>36.75</v>
      </c>
      <c r="F52" s="7">
        <v>40.125</v>
      </c>
      <c r="G52" s="7">
        <v>39.125</v>
      </c>
      <c r="H52" s="7">
        <v>36.625</v>
      </c>
      <c r="I52" s="7">
        <v>79.75</v>
      </c>
      <c r="J52" s="7">
        <v>60.5</v>
      </c>
      <c r="K52" s="7">
        <v>52.75</v>
      </c>
      <c r="L52" s="7">
        <v>168.5</v>
      </c>
      <c r="M52" s="7"/>
      <c r="N52" s="4"/>
      <c r="O52" s="4"/>
    </row>
    <row r="55" spans="2:15" x14ac:dyDescent="0.25">
      <c r="B55" s="2" t="s">
        <v>1</v>
      </c>
    </row>
    <row r="56" spans="2:15" x14ac:dyDescent="0.25">
      <c r="B56" s="4" cm="1">
        <f t="array" ref="B56:B63">_xlfn.BYROW(C6:L13,_xleta.SUM)+N3</f>
        <v>664</v>
      </c>
    </row>
    <row r="57" spans="2:15" x14ac:dyDescent="0.25">
      <c r="B57" s="4">
        <v>461</v>
      </c>
    </row>
    <row r="58" spans="2:15" x14ac:dyDescent="0.25">
      <c r="B58" s="4">
        <v>496</v>
      </c>
    </row>
    <row r="59" spans="2:15" x14ac:dyDescent="0.25">
      <c r="B59" s="4">
        <v>652</v>
      </c>
    </row>
    <row r="60" spans="2:15" x14ac:dyDescent="0.25">
      <c r="B60" s="4">
        <v>698</v>
      </c>
    </row>
    <row r="61" spans="2:15" x14ac:dyDescent="0.25">
      <c r="B61" s="4">
        <v>715</v>
      </c>
    </row>
    <row r="62" spans="2:15" x14ac:dyDescent="0.25">
      <c r="B62" s="4">
        <v>370</v>
      </c>
    </row>
    <row r="63" spans="2:15" x14ac:dyDescent="0.25">
      <c r="B63" s="4">
        <v>716</v>
      </c>
    </row>
    <row r="64" spans="2:15" x14ac:dyDescent="0.25">
      <c r="B64" s="7"/>
    </row>
  </sheetData>
  <printOptions headings="1"/>
  <pageMargins left="0.7" right="0.7" top="0.75" bottom="0.75" header="0.3" footer="0.3"/>
  <pageSetup scale="7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HW(1)</vt:lpstr>
      <vt:lpstr>HW(1an)</vt:lpstr>
      <vt:lpstr>'HW(1an)'!Print_Area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Martins</dc:creator>
  <cp:lastModifiedBy>João Martins</cp:lastModifiedBy>
  <dcterms:created xsi:type="dcterms:W3CDTF">2026-08-22T16:04:23Z</dcterms:created>
  <dcterms:modified xsi:type="dcterms:W3CDTF">2026-08-22T16:04:50Z</dcterms:modified>
</cp:coreProperties>
</file>