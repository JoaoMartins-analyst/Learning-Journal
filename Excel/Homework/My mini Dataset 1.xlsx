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oão Martins\Desktop\Data Analyst Journey\Excel\"/>
    </mc:Choice>
  </mc:AlternateContent>
  <xr:revisionPtr revIDLastSave="0" documentId="13_ncr:1_{DE238AFA-2EDB-43C7-891F-3DB93B824927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 a="1"/>
  <c r="E5" i="1" a="1"/>
  <c r="C19" i="1" l="1" a="1"/>
  <c r="C17" i="1" a="1"/>
  <c r="C16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<sst xmlns="http://schemas.openxmlformats.org/spreadsheetml/2006/main" count="22" uniqueCount="22">
  <si>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Restaurant Mini DataSet</t>
  </si>
  <si>
    <t>Item</t>
  </si>
  <si>
    <t>Burrito</t>
  </si>
  <si>
    <t>Quesadilla</t>
  </si>
  <si>
    <t>Taco</t>
  </si>
  <si>
    <t>Fajitas</t>
  </si>
  <si>
    <t>Nachos</t>
  </si>
  <si>
    <t>Jalapeño Poppers</t>
  </si>
  <si>
    <t>Chicken Wings</t>
  </si>
  <si>
    <t>Guacamole &amp; Totopos</t>
  </si>
  <si>
    <t>Sweet Potato Fries</t>
  </si>
  <si>
    <t>Lime Mousse</t>
  </si>
  <si>
    <t>Churros</t>
  </si>
  <si>
    <t>Revenue</t>
  </si>
  <si>
    <t>Quantity Sold</t>
  </si>
  <si>
    <t>Average</t>
  </si>
  <si>
    <t>Price €</t>
  </si>
  <si>
    <t>Total</t>
  </si>
  <si>
    <t>Highest</t>
  </si>
  <si>
    <t>Lowest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</si>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</sst>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1" fillId="3" borderId="1" xfId="0" applyFont="1" applyFill="1" applyBorder="1"/>
    <xf numFmtId="164" fontId="0" fillId="0" borderId="1" xfId="0" applyNumberFormat="1" applyBorder="1"/>
    <xf numFmtId="164" fontId="0" fillId="4" borderId="1" xfId="0" applyNumberFormat="1" applyFill="1" applyBorder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130" zoomScaleNormal="130" workbookViewId="0">
      <selection activeCell="D27" sqref="D27"/>
    </sheetView>
  </sheetViews>
  <sheetFormatPr defaultRowHeight="15" x14ac:dyDescent="0.25"/>
  <cols>
    <col min="2" max="2" width="20.5703125" bestFit="1" customWidth="1"/>
    <col min="3" max="3" width="13.140625" bestFit="1" customWidth="1"/>
    <col min="4" max="4" width="9.85546875" bestFit="1" customWidth="1"/>
    <col min="5" max="5" width="11.5703125" bestFit="1" customWidth="1"/>
  </cols>
  <sheetData>
    <row r="1" spans="1:5" x14ac:dyDescent="0.25">
      <c r="A1" s="1" t="s">
        <v>0</v>
      </c>
      <c r="B1" s="1"/>
      <c r="C1" s="1"/>
    </row>
    <row r="4" spans="1:5" x14ac:dyDescent="0.25">
      <c r="B4" s="3" t="s">
        <v>1</v>
      </c>
      <c r="C4" s="3" t="s">
        <v>14</v>
      </c>
      <c r="D4" s="3" t="s">
        <v>16</v>
      </c>
      <c r="E4" s="3" t="s">
        <v>13</v>
      </c>
    </row>
    <row r="5" spans="1:5" x14ac:dyDescent="0.25">
      <c r="B5" s="2" t="s">
        <v>6</v>
      </c>
      <c r="C5" s="2">
        <v>89</v>
      </c>
      <c r="D5" s="4">
        <v>12</v>
      </c>
      <c r="E5" s="5" cm="1">
        <f t="array" ref="E5:E15">C5:C15*D5:D15</f>
        <v>1068</v>
      </c>
    </row>
    <row r="6" spans="1:5" x14ac:dyDescent="0.25">
      <c r="B6" s="2" t="s">
        <v>7</v>
      </c>
      <c r="C6" s="2">
        <v>75</v>
      </c>
      <c r="D6" s="4">
        <v>8</v>
      </c>
      <c r="E6" s="5">
        <v>600</v>
      </c>
    </row>
    <row r="7" spans="1:5" x14ac:dyDescent="0.25">
      <c r="B7" s="2" t="s">
        <v>8</v>
      </c>
      <c r="C7" s="2">
        <v>48</v>
      </c>
      <c r="D7" s="4">
        <v>7.5</v>
      </c>
      <c r="E7" s="5">
        <v>360</v>
      </c>
    </row>
    <row r="8" spans="1:5" x14ac:dyDescent="0.25">
      <c r="B8" s="2" t="s">
        <v>9</v>
      </c>
      <c r="C8" s="2">
        <v>101</v>
      </c>
      <c r="D8" s="4">
        <v>7</v>
      </c>
      <c r="E8" s="5">
        <v>707</v>
      </c>
    </row>
    <row r="9" spans="1:5" x14ac:dyDescent="0.25">
      <c r="B9" s="2" t="s">
        <v>10</v>
      </c>
      <c r="C9" s="2">
        <v>79</v>
      </c>
      <c r="D9" s="4">
        <v>6.5</v>
      </c>
      <c r="E9" s="5">
        <v>513.5</v>
      </c>
    </row>
    <row r="10" spans="1:5" x14ac:dyDescent="0.25">
      <c r="B10" s="2" t="s">
        <v>2</v>
      </c>
      <c r="C10" s="2">
        <v>130</v>
      </c>
      <c r="D10" s="4">
        <v>13</v>
      </c>
      <c r="E10" s="5">
        <v>1690</v>
      </c>
    </row>
    <row r="11" spans="1:5" x14ac:dyDescent="0.25">
      <c r="B11" s="2" t="s">
        <v>3</v>
      </c>
      <c r="C11" s="2">
        <v>98</v>
      </c>
      <c r="D11" s="4">
        <v>12.5</v>
      </c>
      <c r="E11" s="5">
        <v>1225</v>
      </c>
    </row>
    <row r="12" spans="1:5" x14ac:dyDescent="0.25">
      <c r="B12" s="2" t="s">
        <v>4</v>
      </c>
      <c r="C12" s="2">
        <v>112</v>
      </c>
      <c r="D12" s="4">
        <v>11.5</v>
      </c>
      <c r="E12" s="5">
        <v>1288</v>
      </c>
    </row>
    <row r="13" spans="1:5" x14ac:dyDescent="0.25">
      <c r="B13" s="2" t="s">
        <v>5</v>
      </c>
      <c r="C13" s="2">
        <v>13</v>
      </c>
      <c r="D13" s="4">
        <v>28</v>
      </c>
      <c r="E13" s="5">
        <v>364</v>
      </c>
    </row>
    <row r="14" spans="1:5" x14ac:dyDescent="0.25">
      <c r="B14" s="2" t="s">
        <v>11</v>
      </c>
      <c r="C14" s="2">
        <v>9</v>
      </c>
      <c r="D14" s="4">
        <v>7</v>
      </c>
      <c r="E14" s="5">
        <v>63</v>
      </c>
    </row>
    <row r="15" spans="1:5" x14ac:dyDescent="0.25">
      <c r="B15" s="2" t="s">
        <v>12</v>
      </c>
      <c r="C15" s="2">
        <v>54</v>
      </c>
      <c r="D15" s="4">
        <v>7</v>
      </c>
      <c r="E15" s="5">
        <v>378</v>
      </c>
    </row>
    <row r="16" spans="1:5" x14ac:dyDescent="0.25">
      <c r="B16" s="3" t="s">
        <v>17</v>
      </c>
      <c r="C16" s="6" cm="1">
        <f t="array" ref="C16:E16">_xlfn.BYCOL(C5:E15,_xleta.SUM)</f>
        <v>808</v>
      </c>
      <c r="D16" s="5">
        <v>120</v>
      </c>
      <c r="E16" s="5">
        <v>8256.5</v>
      </c>
    </row>
    <row r="17" spans="1:5" x14ac:dyDescent="0.25">
      <c r="B17" s="3" t="s">
        <v>15</v>
      </c>
      <c r="C17" s="6" cm="1">
        <f t="array" ref="C17:E17">_xlfn.BYCOL(C5:E15,_xleta.AVERAGE)</f>
        <v>73.454545454545453</v>
      </c>
      <c r="D17" s="5">
        <v>10.909090909090908</v>
      </c>
      <c r="E17" s="5">
        <v>750.59090909090912</v>
      </c>
    </row>
    <row r="18" spans="1:5" x14ac:dyDescent="0.25">
      <c r="B18" s="3" t="s">
        <v>18</v>
      </c>
      <c r="C18" s="6" cm="1">
        <f t="array" ref="C18:E18">_xlfn.BYCOL(C5:E15,_xleta.MAX)</f>
        <v>130</v>
      </c>
      <c r="D18" s="5">
        <v>28</v>
      </c>
      <c r="E18" s="5">
        <v>1690</v>
      </c>
    </row>
    <row r="19" spans="1:5" x14ac:dyDescent="0.25">
      <c r="B19" s="3" t="s">
        <v>19</v>
      </c>
      <c r="C19" s="6" cm="1">
        <f t="array" ref="C19:E19">_xlfn.BYCOL(C5:E15,_xleta.MIN)</f>
        <v>9</v>
      </c>
      <c r="D19" s="5">
        <v>6.5</v>
      </c>
      <c r="E19" s="5">
        <v>63</v>
      </c>
    </row>
    <row r="22" spans="1:5" x14ac:dyDescent="0.25">
      <c r="A22" s="3" t="s">
        <v>20</v>
      </c>
      <c r="B22" s="3" t="s">
        <v>21</v>
      </c>
    </row>
    <row r="23" spans="1:5" x14ac:dyDescent="0.25">
      <c r="A23" s="3">
        <v>1</v>
      </c>
      <c r="B23" s="2">
        <v>8256.5</v>
      </c>
    </row>
    <row r="24" spans="1:5" x14ac:dyDescent="0.25">
      <c r="A24" s="3">
        <v>2</v>
      </c>
      <c r="B24" s="2">
        <v>750.59</v>
      </c>
    </row>
    <row r="25" spans="1:5" x14ac:dyDescent="0.25">
      <c r="A25" s="3">
        <v>3</v>
      </c>
      <c r="B25" s="2">
        <v>1690</v>
      </c>
    </row>
    <row r="26" spans="1:5" x14ac:dyDescent="0.25">
      <c r="A26" s="3">
        <v>4</v>
      </c>
      <c r="B26" s="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Martins</dc:creator>
  <cp:lastModifiedBy>João Martins</cp:lastModifiedBy>
  <dcterms:created xsi:type="dcterms:W3CDTF">2015-06-05T18:17:20Z</dcterms:created>
  <dcterms:modified xsi:type="dcterms:W3CDTF">2026-07-29T15:45:22Z</dcterms:modified>
</cp:coreProperties>
</file>