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 Martins\Desktop\Data Analyst Journey\Excel\"/>
    </mc:Choice>
  </mc:AlternateContent>
  <xr:revisionPtr revIDLastSave="0" documentId="8_{3BDBC189-4551-441C-B509-279A7C16FCC2}" xr6:coauthVersionLast="47" xr6:coauthVersionMax="47" xr10:uidLastSave="{00000000-0000-0000-0000-000000000000}"/>
  <bookViews>
    <workbookView xWindow="1905" yWindow="1905" windowWidth="28800" windowHeight="15345" xr2:uid="{E500C22F-F620-4E14-AE06-95A80C2356E5}"/>
  </bookViews>
  <sheets>
    <sheet name="HW(1)" sheetId="1" r:id="rId1"/>
    <sheet name="HW(1an)" sheetId="2" r:id="rId2"/>
    <sheet name="HW(2)" sheetId="3" r:id="rId3"/>
    <sheet name="HW(2an)" sheetId="4" r:id="rId4"/>
    <sheet name="HW(3)" sheetId="5" r:id="rId5"/>
    <sheet name="HW(3an)" sheetId="6" r:id="rId6"/>
    <sheet name="HW(4)" sheetId="7" r:id="rId7"/>
    <sheet name="HW(4an)" sheetId="8" r:id="rId8"/>
    <sheet name="HW(5)" sheetId="9" r:id="rId9"/>
    <sheet name="HW(5an)" sheetId="10" r:id="rId10"/>
  </sheets>
  <externalReferences>
    <externalReference r:id="rId11"/>
  </externalReferences>
  <definedNames>
    <definedName name="AussieANSWER">#REF!</definedName>
    <definedName name="FastANSWER">#REF!</definedName>
    <definedName name="FrannyANSWER">#REF!</definedName>
    <definedName name="FreestyleANSWER">#REF!</definedName>
    <definedName name="GigiANSWER">#REF!</definedName>
    <definedName name="JonnANSWER">#REF!</definedName>
    <definedName name="ShowFormulas">_xlfn.LAMBDA(_xlpm.Reference,_xlfn.LET(_xlpm.c,_xlpm.Reference,_xlfn.IFNA(ADDRESS(ROW(_xlpm.c),COLUMN(_xlpm.c),4)&amp;": "&amp;_xlfn.FORMULATEXT(_xlpm.c),"")))</definedName>
    <definedName name="TinaANSWER">#REF!</definedName>
    <definedName name="TypeANSWER">#REF!</definedName>
    <definedName name="WindANSW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0" l="1" a="1"/>
  <c r="F8" i="10" a="1"/>
  <c r="G8" i="10" s="1" a="1"/>
  <c r="F8" i="9" a="1"/>
  <c r="G8" i="9" s="1" a="1"/>
  <c r="K8" i="8" a="1"/>
  <c r="F8" i="8" a="1"/>
  <c r="G8" i="8" s="1" a="1"/>
  <c r="G8" i="7" a="1"/>
  <c r="F8" i="7" a="1"/>
  <c r="J12" i="6"/>
  <c r="H12" i="6"/>
  <c r="D12" i="6"/>
  <c r="J6" i="6"/>
  <c r="H6" i="6"/>
  <c r="D6" i="6"/>
  <c r="D11" i="5"/>
  <c r="D5" i="5"/>
  <c r="G5" i="4"/>
  <c r="E5" i="4" a="1"/>
  <c r="E5" i="3" a="1"/>
  <c r="I5" i="2"/>
  <c r="G5" i="2" a="1"/>
  <c r="G5" i="1" a="1"/>
  <c r="H8" i="10" l="1" a="1"/>
  <c r="I8" i="10" s="1" a="1"/>
  <c r="H8" i="9" a="1"/>
  <c r="I8" i="9" s="1" a="1"/>
  <c r="H8" i="8" a="1"/>
  <c r="I8" i="8" s="1" a="1"/>
  <c r="H8" i="7" a="1"/>
  <c r="I8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<sst xmlns="http://schemas.openxmlformats.org/spreadsheetml/2006/main" count="182" uniqueCount="72">
  <si>
    <r>
      <rPr>
        <b/>
        <sz val="11"/>
        <color theme="1"/>
        <rFont val="Aptos Narrow"/>
        <family val="2"/>
        <scheme val="minor"/>
      </rPr>
      <t xml:space="preserve">Goal: </t>
    </r>
    <r>
      <rPr>
        <sz val="11"/>
        <color theme="1"/>
        <rFont val="Aptos Narrow"/>
        <family val="2"/>
        <scheme val="minor"/>
      </rPr>
      <t>Create a formula in cell G5 that calculates number of days it took to pay the invoice and that will spill down the column.</t>
    </r>
  </si>
  <si>
    <t>Customer</t>
  </si>
  <si>
    <t>Invoice #</t>
  </si>
  <si>
    <t>Amount Owed</t>
  </si>
  <si>
    <t>Invoice Issue Date</t>
  </si>
  <si>
    <t>Invoice Pay Date</t>
  </si>
  <si>
    <t>Number Days To Pay Invoice</t>
  </si>
  <si>
    <t>Rafaela Sparkman</t>
  </si>
  <si>
    <t>Providencia Esposito</t>
  </si>
  <si>
    <t>Adrien Dougherty</t>
  </si>
  <si>
    <t>Marvis Block</t>
  </si>
  <si>
    <t>Drucilla Ragsdale</t>
  </si>
  <si>
    <t>Senaida Battles</t>
  </si>
  <si>
    <t>Ossie Kimbrough</t>
  </si>
  <si>
    <t>Elwood Koehler</t>
  </si>
  <si>
    <t>Corliss Coffin</t>
  </si>
  <si>
    <t>Claudette Barela</t>
  </si>
  <si>
    <t>Formula:</t>
  </si>
  <si>
    <t>Goals:</t>
  </si>
  <si>
    <t>Create a formula in cell G5 that calculates</t>
  </si>
  <si>
    <t>the number of days it took to pay the</t>
  </si>
  <si>
    <t>invoice and that will spill down the</t>
  </si>
  <si>
    <t>column.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</si>
  <si>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In cell E5, create a formula to calcualte the number of days to complete each project.</t>
    </r>
  </si>
  <si>
    <t>Project Address</t>
  </si>
  <si>
    <t>Projected Start Date</t>
  </si>
  <si>
    <t>Projected End Date</t>
  </si>
  <si>
    <t>Number Of Days to Complete Project</t>
  </si>
  <si>
    <t>9664 SE. Thomas St. </t>
  </si>
  <si>
    <t>92 Middle River Ave. </t>
  </si>
  <si>
    <t>7275 Belmont Lane </t>
  </si>
  <si>
    <t>9504 Grand St. </t>
  </si>
  <si>
    <t>8016 Applegate Court </t>
  </si>
  <si>
    <t>8 Canal Ave. </t>
  </si>
  <si>
    <t>28 Green Hill Lane </t>
  </si>
  <si>
    <t>26 West Purple Finch Ave. </t>
  </si>
  <si>
    <t>180 Augusta Ave. </t>
  </si>
  <si>
    <t>77 S. Sleepy Hollow Drive </t>
  </si>
  <si>
    <t>In cell E5, create a formula to</t>
  </si>
  <si>
    <t>calcualte the number of days to</t>
  </si>
  <si>
    <t>complete each project.</t>
  </si>
  <si>
    <t>Goal #1:</t>
  </si>
  <si>
    <t>Using one of Excel's Date Functions, calculate the Due Date if the invoice</t>
  </si>
  <si>
    <t>contract says that the amount is due on the same day, two month's ahead.</t>
  </si>
  <si>
    <t>Number of Months</t>
  </si>
  <si>
    <t>Goal #2:</t>
  </si>
  <si>
    <t>Using one of Excel's Date Functions, calculate the Due Date if the</t>
  </si>
  <si>
    <t>invoice contract says that the amount is due at the end of the month.</t>
  </si>
  <si>
    <t>InvoiceDate</t>
  </si>
  <si>
    <t>Number Months</t>
  </si>
  <si>
    <t>Due Date</t>
  </si>
  <si>
    <r>
      <rPr>
        <b/>
        <sz val="11"/>
        <color theme="1"/>
        <rFont val="Aptos Narrow"/>
        <family val="2"/>
        <scheme val="minor"/>
      </rPr>
      <t>Goal:</t>
    </r>
    <r>
      <rPr>
        <sz val="11"/>
        <color theme="1"/>
        <rFont val="Aptos Narrow"/>
        <family val="2"/>
        <scheme val="minor"/>
      </rPr>
      <t xml:space="preserve"> Create the formulas for the following columns: Hours Worked, Gross Pay, Deduction, and Day's Pay</t>
    </r>
  </si>
  <si>
    <t>Tax Rate</t>
  </si>
  <si>
    <t>Employee</t>
  </si>
  <si>
    <t>Wage</t>
  </si>
  <si>
    <t>Time In</t>
  </si>
  <si>
    <t>Time Out</t>
  </si>
  <si>
    <t>Hours Worked</t>
  </si>
  <si>
    <t>Gross Pay</t>
  </si>
  <si>
    <t>Deduction</t>
  </si>
  <si>
    <t>Day's Pay</t>
  </si>
  <si>
    <t>Carroll  Stanley</t>
  </si>
  <si>
    <t>Anne  Ramos</t>
  </si>
  <si>
    <t>Blanche  Sanchez</t>
  </si>
  <si>
    <t>Karla  Fletcher</t>
  </si>
  <si>
    <t>Devin  Smith</t>
  </si>
  <si>
    <t>Edna  Hansen</t>
  </si>
  <si>
    <t>Moses  Swanson</t>
  </si>
  <si>
    <t>Sherman  Moss</t>
  </si>
  <si>
    <t>Amber  Rios</t>
  </si>
  <si>
    <t>Lindsey  Powers</t>
  </si>
  <si>
    <t>Formulas: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</si>
</sst>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3" borderId="1" xfId="0" applyFill="1" applyBorder="1"/>
    <xf numFmtId="14" fontId="0" fillId="0" borderId="0" xfId="0" applyNumberFormat="1"/>
    <xf numFmtId="0" fontId="2" fillId="0" borderId="0" xfId="0" applyFont="1"/>
    <xf numFmtId="0" fontId="3" fillId="2" borderId="2" xfId="0" applyFont="1" applyFill="1" applyBorder="1" applyAlignment="1">
      <alignment wrapText="1"/>
    </xf>
    <xf numFmtId="14" fontId="3" fillId="2" borderId="1" xfId="0" applyNumberFormat="1" applyFont="1" applyFill="1" applyBorder="1"/>
    <xf numFmtId="14" fontId="0" fillId="3" borderId="1" xfId="0" applyNumberForma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horizontal="left" vertical="top" wrapText="1"/>
    </xf>
    <xf numFmtId="0" fontId="1" fillId="2" borderId="1" xfId="0" applyFont="1" applyFill="1" applyBorder="1"/>
    <xf numFmtId="8" fontId="0" fillId="0" borderId="1" xfId="0" applyNumberFormat="1" applyBorder="1"/>
    <xf numFmtId="18" fontId="0" fillId="0" borderId="1" xfId="0" applyNumberFormat="1" applyBorder="1"/>
    <xf numFmtId="164" fontId="0" fillId="3" borderId="1" xfId="0" applyNumberFormat="1" applyFill="1" applyBorder="1"/>
    <xf numFmtId="8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&#227;o%20Martins\Desktop\Data%20Analyst%20Journey\Excel\ExcelBasics04.xlsx" TargetMode="External"/><Relationship Id="rId1" Type="http://schemas.openxmlformats.org/officeDocument/2006/relationships/externalLinkPath" Target="ExcelBasics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ics"/>
      <sheetName val="Date and Time Formulas"/>
      <sheetName val="DateSerialNums"/>
      <sheetName val="DateSerialNums (an)"/>
      <sheetName val="DateNF"/>
      <sheetName val="F(1-5)"/>
      <sheetName val="F(1-5an)"/>
      <sheetName val="F(6-7)"/>
      <sheetName val="F(6-7an)"/>
      <sheetName val="F(8-11)"/>
      <sheetName val="F(8-11an)"/>
      <sheetName val="F(12-15)"/>
      <sheetName val="F(12-15an)"/>
      <sheetName val="F(16-20)"/>
      <sheetName val="F(16-20an)"/>
      <sheetName val="TimeSerialNums"/>
      <sheetName val="TimeSerialNums (an)"/>
      <sheetName val="TimeNF"/>
      <sheetName val="F(21-23)"/>
      <sheetName val="F(21-23an)"/>
      <sheetName val="F(24-26)"/>
      <sheetName val="F(24-26an)"/>
      <sheetName val="HW =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3D9B-6294-4BDB-88F2-E601A73DFEB1}">
  <sheetPr>
    <tabColor rgb="FF0000FF"/>
  </sheetPr>
  <dimension ref="B2:H14"/>
  <sheetViews>
    <sheetView tabSelected="1" zoomScale="160" zoomScaleNormal="160" workbookViewId="0">
      <selection activeCell="G6" sqref="G6"/>
    </sheetView>
  </sheetViews>
  <sheetFormatPr defaultColWidth="8.85546875" defaultRowHeight="15" x14ac:dyDescent="0.25"/>
  <cols>
    <col min="1" max="1" width="2" customWidth="1"/>
    <col min="2" max="2" width="19.85546875" customWidth="1"/>
    <col min="3" max="3" width="14.28515625" customWidth="1"/>
    <col min="4" max="4" width="13.42578125" customWidth="1"/>
    <col min="5" max="5" width="11.28515625" bestFit="1" customWidth="1"/>
    <col min="6" max="6" width="13.42578125" customWidth="1"/>
    <col min="7" max="7" width="15" customWidth="1"/>
    <col min="8" max="8" width="10.28515625" bestFit="1" customWidth="1"/>
  </cols>
  <sheetData>
    <row r="2" spans="2:8" x14ac:dyDescent="0.25">
      <c r="B2" t="s">
        <v>0</v>
      </c>
    </row>
    <row r="4" spans="2:8" ht="30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8" x14ac:dyDescent="0.25">
      <c r="B5" s="2" t="s">
        <v>7</v>
      </c>
      <c r="C5" s="2">
        <v>2693</v>
      </c>
      <c r="D5" s="3">
        <v>227.66</v>
      </c>
      <c r="E5" s="4">
        <v>44172.5</v>
      </c>
      <c r="F5" s="4">
        <v>44254.5</v>
      </c>
      <c r="G5" s="5" cm="1">
        <f t="array" ref="G5:G14">F5:F14-E5:E14</f>
        <v>82</v>
      </c>
      <c r="H5" s="6"/>
    </row>
    <row r="6" spans="2:8" x14ac:dyDescent="0.25">
      <c r="B6" s="2" t="s">
        <v>8</v>
      </c>
      <c r="C6" s="2">
        <v>2867</v>
      </c>
      <c r="D6" s="3">
        <v>759.31</v>
      </c>
      <c r="E6" s="4">
        <v>44186.5</v>
      </c>
      <c r="F6" s="4">
        <v>44194.5</v>
      </c>
      <c r="G6" s="5">
        <v>8</v>
      </c>
      <c r="H6" s="6"/>
    </row>
    <row r="7" spans="2:8" x14ac:dyDescent="0.25">
      <c r="B7" s="2" t="s">
        <v>9</v>
      </c>
      <c r="C7" s="2">
        <v>3092</v>
      </c>
      <c r="D7" s="3">
        <v>303.89</v>
      </c>
      <c r="E7" s="4">
        <v>44189.5</v>
      </c>
      <c r="F7" s="4">
        <v>44394.5</v>
      </c>
      <c r="G7" s="5">
        <v>205</v>
      </c>
      <c r="H7" s="6"/>
    </row>
    <row r="8" spans="2:8" x14ac:dyDescent="0.25">
      <c r="B8" s="2" t="s">
        <v>10</v>
      </c>
      <c r="C8" s="2">
        <v>3222</v>
      </c>
      <c r="D8" s="3">
        <v>459.95</v>
      </c>
      <c r="E8" s="4">
        <v>44195.5</v>
      </c>
      <c r="F8" s="4">
        <v>44359.5</v>
      </c>
      <c r="G8" s="5">
        <v>164</v>
      </c>
      <c r="H8" s="6"/>
    </row>
    <row r="9" spans="2:8" x14ac:dyDescent="0.25">
      <c r="B9" s="2" t="s">
        <v>11</v>
      </c>
      <c r="C9" s="2">
        <v>3247</v>
      </c>
      <c r="D9" s="3">
        <v>574.95000000000005</v>
      </c>
      <c r="E9" s="4">
        <v>44211.5</v>
      </c>
      <c r="F9" s="4">
        <v>44384.5</v>
      </c>
      <c r="G9" s="5">
        <v>173</v>
      </c>
      <c r="H9" s="6"/>
    </row>
    <row r="10" spans="2:8" x14ac:dyDescent="0.25">
      <c r="B10" s="2" t="s">
        <v>12</v>
      </c>
      <c r="C10" s="2">
        <v>3319</v>
      </c>
      <c r="D10" s="3">
        <v>315.25</v>
      </c>
      <c r="E10" s="4">
        <v>44238.5</v>
      </c>
      <c r="F10" s="4">
        <v>44340.5</v>
      </c>
      <c r="G10" s="5">
        <v>102</v>
      </c>
      <c r="H10" s="6"/>
    </row>
    <row r="11" spans="2:8" x14ac:dyDescent="0.25">
      <c r="B11" s="2" t="s">
        <v>13</v>
      </c>
      <c r="C11" s="2">
        <v>3459</v>
      </c>
      <c r="D11" s="3">
        <v>181.82</v>
      </c>
      <c r="E11" s="4">
        <v>44243.5</v>
      </c>
      <c r="F11" s="4">
        <v>44256.5</v>
      </c>
      <c r="G11" s="5">
        <v>13</v>
      </c>
      <c r="H11" s="6"/>
    </row>
    <row r="12" spans="2:8" x14ac:dyDescent="0.25">
      <c r="B12" s="2" t="s">
        <v>14</v>
      </c>
      <c r="C12" s="2">
        <v>3587</v>
      </c>
      <c r="D12" s="3">
        <v>177.74</v>
      </c>
      <c r="E12" s="4">
        <v>44246.5</v>
      </c>
      <c r="F12" s="4">
        <v>44492.5</v>
      </c>
      <c r="G12" s="5">
        <v>246</v>
      </c>
      <c r="H12" s="6"/>
    </row>
    <row r="13" spans="2:8" x14ac:dyDescent="0.25">
      <c r="B13" s="2" t="s">
        <v>15</v>
      </c>
      <c r="C13" s="2">
        <v>3903</v>
      </c>
      <c r="D13" s="3">
        <v>581.59</v>
      </c>
      <c r="E13" s="4">
        <v>44269.5</v>
      </c>
      <c r="F13" s="4">
        <v>44321.5</v>
      </c>
      <c r="G13" s="5">
        <v>52</v>
      </c>
      <c r="H13" s="6"/>
    </row>
    <row r="14" spans="2:8" x14ac:dyDescent="0.25">
      <c r="B14" s="2" t="s">
        <v>16</v>
      </c>
      <c r="C14" s="2">
        <v>3950</v>
      </c>
      <c r="D14" s="3">
        <v>761.62</v>
      </c>
      <c r="E14" s="4">
        <v>44271.5</v>
      </c>
      <c r="F14" s="4">
        <v>44449.5</v>
      </c>
      <c r="G14" s="5">
        <v>178</v>
      </c>
      <c r="H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29B2-4C82-4EC5-A11D-51293E7313FA}">
  <sheetPr>
    <tabColor rgb="FFFF0000"/>
  </sheetPr>
  <dimension ref="B2:K14"/>
  <sheetViews>
    <sheetView zoomScaleNormal="100" workbookViewId="0">
      <selection activeCell="G6" sqref="G6"/>
    </sheetView>
  </sheetViews>
  <sheetFormatPr defaultColWidth="8.85546875" defaultRowHeight="15" x14ac:dyDescent="0.25"/>
  <cols>
    <col min="1" max="1" width="2" customWidth="1"/>
    <col min="2" max="2" width="19.85546875" customWidth="1"/>
    <col min="3" max="3" width="14.28515625" customWidth="1"/>
    <col min="4" max="4" width="13.42578125" customWidth="1"/>
    <col min="5" max="5" width="11.28515625" bestFit="1" customWidth="1"/>
    <col min="6" max="6" width="13.42578125" customWidth="1"/>
    <col min="7" max="7" width="15" customWidth="1"/>
    <col min="8" max="8" width="10.28515625" bestFit="1" customWidth="1"/>
    <col min="9" max="9" width="14.42578125" bestFit="1" customWidth="1"/>
  </cols>
  <sheetData>
    <row r="2" spans="2:11" x14ac:dyDescent="0.25">
      <c r="B2" t="s">
        <v>0</v>
      </c>
    </row>
    <row r="4" spans="2:11" ht="30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I4" s="7" t="s">
        <v>17</v>
      </c>
      <c r="K4" s="7" t="s">
        <v>18</v>
      </c>
    </row>
    <row r="5" spans="2:11" x14ac:dyDescent="0.25">
      <c r="B5" s="2" t="s">
        <v>7</v>
      </c>
      <c r="C5" s="2">
        <v>2693</v>
      </c>
      <c r="D5" s="3">
        <v>227.66</v>
      </c>
      <c r="E5" s="4">
        <v>44172.5</v>
      </c>
      <c r="F5" s="4">
        <v>44254.5</v>
      </c>
      <c r="G5" s="5" cm="1">
        <f t="array" ref="G5:G14">F5:F14-E5:E14</f>
        <v>82</v>
      </c>
      <c r="H5" s="6"/>
      <c r="I5" t="str">
        <f ca="1">_xlfn.FORMULATEXT(G5)</f>
        <v>=F5:F14-E5:E14</v>
      </c>
      <c r="K5" t="s">
        <v>19</v>
      </c>
    </row>
    <row r="6" spans="2:11" x14ac:dyDescent="0.25">
      <c r="B6" s="2" t="s">
        <v>8</v>
      </c>
      <c r="C6" s="2">
        <v>2867</v>
      </c>
      <c r="D6" s="3">
        <v>759.31</v>
      </c>
      <c r="E6" s="4">
        <v>44186.5</v>
      </c>
      <c r="F6" s="4">
        <v>44194.5</v>
      </c>
      <c r="G6" s="5">
        <v>8</v>
      </c>
      <c r="H6" s="6"/>
      <c r="K6" t="s">
        <v>20</v>
      </c>
    </row>
    <row r="7" spans="2:11" x14ac:dyDescent="0.25">
      <c r="B7" s="2" t="s">
        <v>9</v>
      </c>
      <c r="C7" s="2">
        <v>3092</v>
      </c>
      <c r="D7" s="3">
        <v>303.89</v>
      </c>
      <c r="E7" s="4">
        <v>44189.5</v>
      </c>
      <c r="F7" s="4">
        <v>44394.5</v>
      </c>
      <c r="G7" s="5">
        <v>205</v>
      </c>
      <c r="H7" s="6"/>
      <c r="K7" t="s">
        <v>21</v>
      </c>
    </row>
    <row r="8" spans="2:11" x14ac:dyDescent="0.25">
      <c r="B8" s="2" t="s">
        <v>10</v>
      </c>
      <c r="C8" s="2">
        <v>3222</v>
      </c>
      <c r="D8" s="3">
        <v>459.95</v>
      </c>
      <c r="E8" s="4">
        <v>44195.5</v>
      </c>
      <c r="F8" s="4">
        <v>44359.5</v>
      </c>
      <c r="G8" s="5">
        <v>164</v>
      </c>
      <c r="H8" s="6"/>
      <c r="K8" t="s">
        <v>22</v>
      </c>
    </row>
    <row r="9" spans="2:11" x14ac:dyDescent="0.25">
      <c r="B9" s="2" t="s">
        <v>11</v>
      </c>
      <c r="C9" s="2">
        <v>3247</v>
      </c>
      <c r="D9" s="3">
        <v>574.95000000000005</v>
      </c>
      <c r="E9" s="4">
        <v>44211.5</v>
      </c>
      <c r="F9" s="4">
        <v>44384.5</v>
      </c>
      <c r="G9" s="5">
        <v>173</v>
      </c>
      <c r="H9" s="6"/>
    </row>
    <row r="10" spans="2:11" x14ac:dyDescent="0.25">
      <c r="B10" s="2" t="s">
        <v>12</v>
      </c>
      <c r="C10" s="2">
        <v>3319</v>
      </c>
      <c r="D10" s="3">
        <v>315.25</v>
      </c>
      <c r="E10" s="4">
        <v>44238.5</v>
      </c>
      <c r="F10" s="4">
        <v>44340.5</v>
      </c>
      <c r="G10" s="5">
        <v>102</v>
      </c>
      <c r="H10" s="6"/>
    </row>
    <row r="11" spans="2:11" x14ac:dyDescent="0.25">
      <c r="B11" s="2" t="s">
        <v>13</v>
      </c>
      <c r="C11" s="2">
        <v>3459</v>
      </c>
      <c r="D11" s="3">
        <v>181.82</v>
      </c>
      <c r="E11" s="4">
        <v>44243.5</v>
      </c>
      <c r="F11" s="4">
        <v>44256.5</v>
      </c>
      <c r="G11" s="5">
        <v>13</v>
      </c>
      <c r="H11" s="6"/>
    </row>
    <row r="12" spans="2:11" x14ac:dyDescent="0.25">
      <c r="B12" s="2" t="s">
        <v>14</v>
      </c>
      <c r="C12" s="2">
        <v>3587</v>
      </c>
      <c r="D12" s="3">
        <v>177.74</v>
      </c>
      <c r="E12" s="4">
        <v>44246.5</v>
      </c>
      <c r="F12" s="4">
        <v>44492.5</v>
      </c>
      <c r="G12" s="5">
        <v>246</v>
      </c>
      <c r="H12" s="6"/>
    </row>
    <row r="13" spans="2:11" x14ac:dyDescent="0.25">
      <c r="B13" s="2" t="s">
        <v>15</v>
      </c>
      <c r="C13" s="2">
        <v>3903</v>
      </c>
      <c r="D13" s="3">
        <v>581.59</v>
      </c>
      <c r="E13" s="4">
        <v>44269.5</v>
      </c>
      <c r="F13" s="4">
        <v>44321.5</v>
      </c>
      <c r="G13" s="5">
        <v>52</v>
      </c>
      <c r="H13" s="6"/>
    </row>
    <row r="14" spans="2:11" x14ac:dyDescent="0.25">
      <c r="B14" s="2" t="s">
        <v>16</v>
      </c>
      <c r="C14" s="2">
        <v>3950</v>
      </c>
      <c r="D14" s="3">
        <v>761.62</v>
      </c>
      <c r="E14" s="4">
        <v>44271.5</v>
      </c>
      <c r="F14" s="4">
        <v>44449.5</v>
      </c>
      <c r="G14" s="5">
        <v>178</v>
      </c>
      <c r="H14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91D-B5DB-4D3E-ACDC-E8B286512104}">
  <sheetPr>
    <tabColor rgb="FF0000FF"/>
  </sheetPr>
  <dimension ref="B2:E14"/>
  <sheetViews>
    <sheetView zoomScale="175" zoomScaleNormal="175" workbookViewId="0">
      <selection activeCell="G6" sqref="G6"/>
    </sheetView>
  </sheetViews>
  <sheetFormatPr defaultColWidth="8.85546875" defaultRowHeight="15" x14ac:dyDescent="0.25"/>
  <cols>
    <col min="1" max="1" width="2.28515625" customWidth="1"/>
    <col min="2" max="2" width="25.140625" customWidth="1"/>
    <col min="3" max="4" width="13.7109375" customWidth="1"/>
    <col min="5" max="5" width="23.42578125" customWidth="1"/>
    <col min="7" max="7" width="17.42578125" bestFit="1" customWidth="1"/>
  </cols>
  <sheetData>
    <row r="2" spans="2:5" x14ac:dyDescent="0.25">
      <c r="B2" t="s">
        <v>23</v>
      </c>
    </row>
    <row r="4" spans="2:5" ht="30" x14ac:dyDescent="0.25">
      <c r="B4" s="1" t="s">
        <v>24</v>
      </c>
      <c r="C4" s="1" t="s">
        <v>25</v>
      </c>
      <c r="D4" s="1" t="s">
        <v>26</v>
      </c>
      <c r="E4" s="8" t="s">
        <v>27</v>
      </c>
    </row>
    <row r="5" spans="2:5" x14ac:dyDescent="0.25">
      <c r="B5" s="2" t="s">
        <v>28</v>
      </c>
      <c r="C5" s="4">
        <v>43149</v>
      </c>
      <c r="D5" s="4">
        <v>43218</v>
      </c>
      <c r="E5" s="5" cm="1">
        <f t="array" ref="E5:E14">D5:D14-C5:C14+1</f>
        <v>70</v>
      </c>
    </row>
    <row r="6" spans="2:5" x14ac:dyDescent="0.25">
      <c r="B6" s="2" t="s">
        <v>29</v>
      </c>
      <c r="C6" s="4">
        <v>43066</v>
      </c>
      <c r="D6" s="4">
        <v>43285</v>
      </c>
      <c r="E6" s="5">
        <v>220</v>
      </c>
    </row>
    <row r="7" spans="2:5" x14ac:dyDescent="0.25">
      <c r="B7" s="2" t="s">
        <v>30</v>
      </c>
      <c r="C7" s="4">
        <v>43167</v>
      </c>
      <c r="D7" s="4">
        <v>43416</v>
      </c>
      <c r="E7" s="5">
        <v>250</v>
      </c>
    </row>
    <row r="8" spans="2:5" x14ac:dyDescent="0.25">
      <c r="B8" s="2" t="s">
        <v>31</v>
      </c>
      <c r="C8" s="4">
        <v>43070</v>
      </c>
      <c r="D8" s="4">
        <v>43267</v>
      </c>
      <c r="E8" s="5">
        <v>198</v>
      </c>
    </row>
    <row r="9" spans="2:5" x14ac:dyDescent="0.25">
      <c r="B9" s="2" t="s">
        <v>32</v>
      </c>
      <c r="C9" s="4">
        <v>43141</v>
      </c>
      <c r="D9" s="4">
        <v>43183</v>
      </c>
      <c r="E9" s="5">
        <v>43</v>
      </c>
    </row>
    <row r="10" spans="2:5" x14ac:dyDescent="0.25">
      <c r="B10" s="2" t="s">
        <v>33</v>
      </c>
      <c r="C10" s="4">
        <v>43123</v>
      </c>
      <c r="D10" s="4">
        <v>43177</v>
      </c>
      <c r="E10" s="5">
        <v>55</v>
      </c>
    </row>
    <row r="11" spans="2:5" x14ac:dyDescent="0.25">
      <c r="B11" s="2" t="s">
        <v>34</v>
      </c>
      <c r="C11" s="4">
        <v>43128</v>
      </c>
      <c r="D11" s="4">
        <v>43163</v>
      </c>
      <c r="E11" s="5">
        <v>36</v>
      </c>
    </row>
    <row r="12" spans="2:5" x14ac:dyDescent="0.25">
      <c r="B12" s="2" t="s">
        <v>35</v>
      </c>
      <c r="C12" s="4">
        <v>43086</v>
      </c>
      <c r="D12" s="4">
        <v>43318</v>
      </c>
      <c r="E12" s="5">
        <v>233</v>
      </c>
    </row>
    <row r="13" spans="2:5" x14ac:dyDescent="0.25">
      <c r="B13" s="2" t="s">
        <v>36</v>
      </c>
      <c r="C13" s="4">
        <v>43030</v>
      </c>
      <c r="D13" s="4">
        <v>43201</v>
      </c>
      <c r="E13" s="5">
        <v>172</v>
      </c>
    </row>
    <row r="14" spans="2:5" x14ac:dyDescent="0.25">
      <c r="B14" s="2" t="s">
        <v>37</v>
      </c>
      <c r="C14" s="4">
        <v>43108</v>
      </c>
      <c r="D14" s="4">
        <v>43345</v>
      </c>
      <c r="E14" s="5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9641-C4EF-4B0C-B87D-FCDADAE582B2}">
  <sheetPr>
    <tabColor rgb="FFFF0000"/>
  </sheetPr>
  <dimension ref="B2:I14"/>
  <sheetViews>
    <sheetView zoomScaleNormal="100" workbookViewId="0">
      <selection activeCell="G6" sqref="G6"/>
    </sheetView>
  </sheetViews>
  <sheetFormatPr defaultColWidth="8.85546875" defaultRowHeight="15" x14ac:dyDescent="0.25"/>
  <cols>
    <col min="1" max="1" width="2.28515625" customWidth="1"/>
    <col min="2" max="2" width="25.140625" customWidth="1"/>
    <col min="3" max="4" width="13.140625" customWidth="1"/>
    <col min="5" max="5" width="23.42578125" customWidth="1"/>
    <col min="7" max="7" width="17.42578125" bestFit="1" customWidth="1"/>
  </cols>
  <sheetData>
    <row r="2" spans="2:9" x14ac:dyDescent="0.25">
      <c r="B2" t="s">
        <v>23</v>
      </c>
    </row>
    <row r="4" spans="2:9" ht="30" x14ac:dyDescent="0.25">
      <c r="B4" s="1" t="s">
        <v>24</v>
      </c>
      <c r="C4" s="1" t="s">
        <v>25</v>
      </c>
      <c r="D4" s="1" t="s">
        <v>26</v>
      </c>
      <c r="E4" s="8" t="s">
        <v>27</v>
      </c>
      <c r="G4" s="7" t="s">
        <v>17</v>
      </c>
      <c r="I4" s="7" t="s">
        <v>18</v>
      </c>
    </row>
    <row r="5" spans="2:9" x14ac:dyDescent="0.25">
      <c r="B5" s="2" t="s">
        <v>28</v>
      </c>
      <c r="C5" s="4">
        <v>43149</v>
      </c>
      <c r="D5" s="4">
        <v>43218</v>
      </c>
      <c r="E5" s="5" cm="1">
        <f t="array" ref="E5:E14">D5:D14-C5:C14+1</f>
        <v>70</v>
      </c>
      <c r="G5" t="str">
        <f ca="1">_xlfn.FORMULATEXT(E5)</f>
        <v>=D5:D14-C5:C14+1</v>
      </c>
      <c r="I5" t="s">
        <v>38</v>
      </c>
    </row>
    <row r="6" spans="2:9" x14ac:dyDescent="0.25">
      <c r="B6" s="2" t="s">
        <v>29</v>
      </c>
      <c r="C6" s="4">
        <v>43066</v>
      </c>
      <c r="D6" s="4">
        <v>43285</v>
      </c>
      <c r="E6" s="5">
        <v>220</v>
      </c>
      <c r="I6" t="s">
        <v>39</v>
      </c>
    </row>
    <row r="7" spans="2:9" x14ac:dyDescent="0.25">
      <c r="B7" s="2" t="s">
        <v>30</v>
      </c>
      <c r="C7" s="4">
        <v>43167</v>
      </c>
      <c r="D7" s="4">
        <v>43416</v>
      </c>
      <c r="E7" s="5">
        <v>250</v>
      </c>
      <c r="I7" t="s">
        <v>40</v>
      </c>
    </row>
    <row r="8" spans="2:9" x14ac:dyDescent="0.25">
      <c r="B8" s="2" t="s">
        <v>31</v>
      </c>
      <c r="C8" s="4">
        <v>43070</v>
      </c>
      <c r="D8" s="4">
        <v>43267</v>
      </c>
      <c r="E8" s="5">
        <v>198</v>
      </c>
    </row>
    <row r="9" spans="2:9" x14ac:dyDescent="0.25">
      <c r="B9" s="2" t="s">
        <v>32</v>
      </c>
      <c r="C9" s="4">
        <v>43141</v>
      </c>
      <c r="D9" s="4">
        <v>43183</v>
      </c>
      <c r="E9" s="5">
        <v>43</v>
      </c>
    </row>
    <row r="10" spans="2:9" x14ac:dyDescent="0.25">
      <c r="B10" s="2" t="s">
        <v>33</v>
      </c>
      <c r="C10" s="4">
        <v>43123</v>
      </c>
      <c r="D10" s="4">
        <v>43177</v>
      </c>
      <c r="E10" s="5">
        <v>55</v>
      </c>
    </row>
    <row r="11" spans="2:9" x14ac:dyDescent="0.25">
      <c r="B11" s="2" t="s">
        <v>34</v>
      </c>
      <c r="C11" s="4">
        <v>43128</v>
      </c>
      <c r="D11" s="4">
        <v>43163</v>
      </c>
      <c r="E11" s="5">
        <v>36</v>
      </c>
    </row>
    <row r="12" spans="2:9" x14ac:dyDescent="0.25">
      <c r="B12" s="2" t="s">
        <v>35</v>
      </c>
      <c r="C12" s="4">
        <v>43086</v>
      </c>
      <c r="D12" s="4">
        <v>43318</v>
      </c>
      <c r="E12" s="5">
        <v>233</v>
      </c>
    </row>
    <row r="13" spans="2:9" x14ac:dyDescent="0.25">
      <c r="B13" s="2" t="s">
        <v>36</v>
      </c>
      <c r="C13" s="4">
        <v>43030</v>
      </c>
      <c r="D13" s="4">
        <v>43201</v>
      </c>
      <c r="E13" s="5">
        <v>172</v>
      </c>
    </row>
    <row r="14" spans="2:9" x14ac:dyDescent="0.25">
      <c r="B14" s="2" t="s">
        <v>37</v>
      </c>
      <c r="C14" s="4">
        <v>43108</v>
      </c>
      <c r="D14" s="4">
        <v>43345</v>
      </c>
      <c r="E14" s="5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3147-C34F-4C53-86E8-DBE1ED080F92}">
  <sheetPr>
    <tabColor rgb="FF0000FF"/>
  </sheetPr>
  <dimension ref="B2:F12"/>
  <sheetViews>
    <sheetView zoomScale="205" zoomScaleNormal="205" workbookViewId="0">
      <selection activeCell="G6" sqref="G6"/>
    </sheetView>
  </sheetViews>
  <sheetFormatPr defaultColWidth="8.85546875" defaultRowHeight="15" x14ac:dyDescent="0.25"/>
  <cols>
    <col min="1" max="1" width="2.28515625" customWidth="1"/>
    <col min="2" max="2" width="8.140625" bestFit="1" customWidth="1"/>
    <col min="3" max="3" width="11.42578125" bestFit="1" customWidth="1"/>
    <col min="4" max="4" width="15.42578125" customWidth="1"/>
    <col min="6" max="6" width="16" customWidth="1"/>
    <col min="7" max="7" width="12.85546875" customWidth="1"/>
    <col min="8" max="8" width="11.42578125" customWidth="1"/>
    <col min="9" max="9" width="11.7109375" customWidth="1"/>
  </cols>
  <sheetData>
    <row r="2" spans="2:6" x14ac:dyDescent="0.25">
      <c r="B2" s="7" t="s">
        <v>41</v>
      </c>
      <c r="C2" t="s">
        <v>42</v>
      </c>
    </row>
    <row r="3" spans="2:6" x14ac:dyDescent="0.25">
      <c r="C3" t="s">
        <v>43</v>
      </c>
    </row>
    <row r="5" spans="2:6" x14ac:dyDescent="0.25">
      <c r="C5" s="9">
        <v>46240</v>
      </c>
      <c r="D5" s="10">
        <f>EDATE(C5,F6)</f>
        <v>46301</v>
      </c>
      <c r="F5" s="11" t="s">
        <v>44</v>
      </c>
    </row>
    <row r="6" spans="2:6" x14ac:dyDescent="0.25">
      <c r="F6" s="2">
        <v>2</v>
      </c>
    </row>
    <row r="8" spans="2:6" x14ac:dyDescent="0.25">
      <c r="B8" s="7" t="s">
        <v>45</v>
      </c>
      <c r="C8" t="s">
        <v>46</v>
      </c>
    </row>
    <row r="9" spans="2:6" x14ac:dyDescent="0.25">
      <c r="C9" t="s">
        <v>47</v>
      </c>
    </row>
    <row r="11" spans="2:6" x14ac:dyDescent="0.25">
      <c r="C11" s="9">
        <v>46240</v>
      </c>
      <c r="D11" s="10">
        <f>EOMONTH(C11,F12)</f>
        <v>46265</v>
      </c>
      <c r="F11" s="11" t="s">
        <v>44</v>
      </c>
    </row>
    <row r="12" spans="2:6" x14ac:dyDescent="0.25">
      <c r="F1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7987-736A-4C6F-BA4F-6DB9B0E1DAA9}">
  <sheetPr>
    <tabColor rgb="FFFF0000"/>
  </sheetPr>
  <dimension ref="B2:Q14"/>
  <sheetViews>
    <sheetView zoomScale="85" zoomScaleNormal="85" workbookViewId="0">
      <selection activeCell="G6" sqref="G6"/>
    </sheetView>
  </sheetViews>
  <sheetFormatPr defaultColWidth="8.85546875" defaultRowHeight="15" x14ac:dyDescent="0.25"/>
  <cols>
    <col min="1" max="1" width="2.28515625" customWidth="1"/>
    <col min="2" max="2" width="8.140625" bestFit="1" customWidth="1"/>
    <col min="3" max="3" width="11.42578125" bestFit="1" customWidth="1"/>
    <col min="4" max="4" width="15.42578125" customWidth="1"/>
    <col min="6" max="6" width="15.42578125" bestFit="1" customWidth="1"/>
    <col min="8" max="8" width="11.42578125" customWidth="1"/>
    <col min="9" max="9" width="11.7109375" customWidth="1"/>
  </cols>
  <sheetData>
    <row r="2" spans="2:17" x14ac:dyDescent="0.25">
      <c r="B2" s="7" t="s">
        <v>41</v>
      </c>
      <c r="C2" t="s">
        <v>42</v>
      </c>
    </row>
    <row r="3" spans="2:17" x14ac:dyDescent="0.25">
      <c r="C3" t="s">
        <v>43</v>
      </c>
    </row>
    <row r="5" spans="2:17" x14ac:dyDescent="0.25">
      <c r="C5" s="12" t="s">
        <v>48</v>
      </c>
      <c r="D5" s="4">
        <v>44503</v>
      </c>
      <c r="F5" s="11" t="s">
        <v>49</v>
      </c>
      <c r="H5" s="7" t="s">
        <v>17</v>
      </c>
      <c r="J5" s="7" t="s">
        <v>18</v>
      </c>
    </row>
    <row r="6" spans="2:17" x14ac:dyDescent="0.25">
      <c r="C6" s="12" t="s">
        <v>50</v>
      </c>
      <c r="D6" s="10">
        <f>EDATE(D5,F6)</f>
        <v>44564</v>
      </c>
      <c r="F6" s="2">
        <v>2</v>
      </c>
      <c r="H6" t="str">
        <f ca="1">_xlfn.FORMULATEXT(D6)</f>
        <v>=EDATE(D5,F6)</v>
      </c>
      <c r="J6" s="13" t="str">
        <f>C2&amp;" "&amp;C3</f>
        <v>Using one of Excel's Date Functions, calculate the Due Date if the invoice contract says that the amount is due on the same day, two month's ahead.</v>
      </c>
      <c r="K6" s="13"/>
      <c r="L6" s="13"/>
      <c r="M6" s="13"/>
      <c r="N6" s="13"/>
      <c r="O6" s="13"/>
      <c r="P6" s="13"/>
      <c r="Q6" s="13"/>
    </row>
    <row r="7" spans="2:17" x14ac:dyDescent="0.25">
      <c r="J7" s="13"/>
      <c r="K7" s="13"/>
      <c r="L7" s="13"/>
      <c r="M7" s="13"/>
      <c r="N7" s="13"/>
      <c r="O7" s="13"/>
      <c r="P7" s="13"/>
      <c r="Q7" s="13"/>
    </row>
    <row r="8" spans="2:17" x14ac:dyDescent="0.25">
      <c r="B8" s="7" t="s">
        <v>45</v>
      </c>
      <c r="C8" t="s">
        <v>46</v>
      </c>
      <c r="J8" s="13"/>
      <c r="K8" s="13"/>
      <c r="L8" s="13"/>
      <c r="M8" s="13"/>
      <c r="N8" s="13"/>
      <c r="O8" s="13"/>
      <c r="P8" s="13"/>
      <c r="Q8" s="13"/>
    </row>
    <row r="9" spans="2:17" x14ac:dyDescent="0.25">
      <c r="C9" t="s">
        <v>47</v>
      </c>
    </row>
    <row r="11" spans="2:17" x14ac:dyDescent="0.25">
      <c r="C11" s="12" t="s">
        <v>48</v>
      </c>
      <c r="D11" s="4">
        <v>44503</v>
      </c>
      <c r="F11" s="11" t="s">
        <v>49</v>
      </c>
      <c r="H11" s="7" t="s">
        <v>17</v>
      </c>
      <c r="J11" s="7" t="s">
        <v>18</v>
      </c>
    </row>
    <row r="12" spans="2:17" x14ac:dyDescent="0.25">
      <c r="C12" s="12" t="s">
        <v>50</v>
      </c>
      <c r="D12" s="10">
        <f>EOMONTH(D11,F12)</f>
        <v>44530</v>
      </c>
      <c r="F12" s="2">
        <v>0</v>
      </c>
      <c r="H12" t="str">
        <f ca="1">_xlfn.FORMULATEXT(D12)</f>
        <v>=EOMONTH(D11,F12)</v>
      </c>
      <c r="J12" s="13" t="str">
        <f>C8&amp;" "&amp;C9</f>
        <v>Using one of Excel's Date Functions, calculate the Due Date if the invoice contract says that the amount is due at the end of the month.</v>
      </c>
      <c r="K12" s="13"/>
      <c r="L12" s="13"/>
      <c r="M12" s="13"/>
      <c r="N12" s="13"/>
      <c r="O12" s="13"/>
      <c r="P12" s="13"/>
      <c r="Q12" s="13"/>
    </row>
    <row r="13" spans="2:17" x14ac:dyDescent="0.25">
      <c r="J13" s="13"/>
      <c r="K13" s="13"/>
      <c r="L13" s="13"/>
      <c r="M13" s="13"/>
      <c r="N13" s="13"/>
      <c r="O13" s="13"/>
      <c r="P13" s="13"/>
      <c r="Q13" s="13"/>
    </row>
    <row r="14" spans="2:17" x14ac:dyDescent="0.25">
      <c r="J14" s="13"/>
      <c r="K14" s="13"/>
      <c r="L14" s="13"/>
      <c r="M14" s="13"/>
      <c r="N14" s="13"/>
      <c r="O14" s="13"/>
      <c r="P14" s="13"/>
      <c r="Q14" s="13"/>
    </row>
  </sheetData>
  <mergeCells count="2">
    <mergeCell ref="J6:Q8"/>
    <mergeCell ref="J12:Q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B66D-9CE3-47F4-9297-07E9D28E8DBF}">
  <sheetPr>
    <tabColor rgb="FF0000FF"/>
  </sheetPr>
  <dimension ref="B2:I17"/>
  <sheetViews>
    <sheetView zoomScale="160" zoomScaleNormal="160" workbookViewId="0">
      <selection activeCell="G6" sqref="G6"/>
    </sheetView>
  </sheetViews>
  <sheetFormatPr defaultColWidth="8.85546875" defaultRowHeight="15" x14ac:dyDescent="0.25"/>
  <cols>
    <col min="1" max="1" width="3.42578125" customWidth="1"/>
    <col min="2" max="2" width="16.140625" bestFit="1" customWidth="1"/>
    <col min="3" max="5" width="9.7109375" customWidth="1"/>
    <col min="6" max="6" width="13.85546875" bestFit="1" customWidth="1"/>
    <col min="7" max="7" width="9.42578125" bestFit="1" customWidth="1"/>
    <col min="8" max="8" width="10.140625" bestFit="1" customWidth="1"/>
    <col min="9" max="9" width="9.28515625" bestFit="1" customWidth="1"/>
    <col min="11" max="11" width="19.42578125" bestFit="1" customWidth="1"/>
    <col min="12" max="12" width="21.85546875" bestFit="1" customWidth="1"/>
    <col min="13" max="13" width="18.140625" bestFit="1" customWidth="1"/>
    <col min="14" max="14" width="9.28515625" bestFit="1" customWidth="1"/>
  </cols>
  <sheetData>
    <row r="2" spans="2:9" x14ac:dyDescent="0.25">
      <c r="B2" t="s">
        <v>51</v>
      </c>
    </row>
    <row r="4" spans="2:9" x14ac:dyDescent="0.25">
      <c r="H4" s="11" t="s">
        <v>52</v>
      </c>
    </row>
    <row r="5" spans="2:9" x14ac:dyDescent="0.25">
      <c r="H5" s="2">
        <v>7.6499999999999999E-2</v>
      </c>
    </row>
    <row r="7" spans="2:9" x14ac:dyDescent="0.25">
      <c r="B7" s="14" t="s">
        <v>53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4" t="s">
        <v>60</v>
      </c>
    </row>
    <row r="8" spans="2:9" x14ac:dyDescent="0.25">
      <c r="B8" s="2" t="s">
        <v>61</v>
      </c>
      <c r="C8" s="15">
        <v>24.94</v>
      </c>
      <c r="D8" s="16">
        <v>0.33333333333333331</v>
      </c>
      <c r="E8" s="16">
        <v>0.64583333333333337</v>
      </c>
      <c r="F8" s="5" cm="1">
        <f t="array" ref="F8:F17">(E8:E17-D8:D17)*24</f>
        <v>7.5000000000000018</v>
      </c>
      <c r="G8" s="17" cm="1">
        <f t="array" ref="G8:G17">ROUND(_xlfn.ANCHORARRAY(F8)*C8:C17,2)</f>
        <v>187.05</v>
      </c>
      <c r="H8" s="17" cm="1">
        <f t="array" ref="H8:H17">ROUND(_xlfn.ANCHORARRAY(G8)*H5,2)</f>
        <v>14.31</v>
      </c>
      <c r="I8" s="17" cm="1">
        <f t="array" ref="I8:I17">_xlfn.ANCHORARRAY(G8)-_xlfn.ANCHORARRAY(H8)</f>
        <v>172.74</v>
      </c>
    </row>
    <row r="9" spans="2:9" x14ac:dyDescent="0.25">
      <c r="B9" s="2" t="s">
        <v>62</v>
      </c>
      <c r="C9" s="15">
        <v>18.14</v>
      </c>
      <c r="D9" s="16">
        <v>0.375</v>
      </c>
      <c r="E9" s="16">
        <v>0.60416666666666674</v>
      </c>
      <c r="F9" s="5">
        <v>5.5000000000000018</v>
      </c>
      <c r="G9" s="17">
        <v>99.77</v>
      </c>
      <c r="H9" s="17">
        <v>7.63</v>
      </c>
      <c r="I9" s="17">
        <v>92.14</v>
      </c>
    </row>
    <row r="10" spans="2:9" x14ac:dyDescent="0.25">
      <c r="B10" s="2" t="s">
        <v>63</v>
      </c>
      <c r="C10" s="15">
        <v>17.940000000000001</v>
      </c>
      <c r="D10" s="16">
        <v>0.3125</v>
      </c>
      <c r="E10" s="16">
        <v>0.62500000000000011</v>
      </c>
      <c r="F10" s="5">
        <v>7.5000000000000027</v>
      </c>
      <c r="G10" s="17">
        <v>134.55000000000001</v>
      </c>
      <c r="H10" s="17">
        <v>10.29</v>
      </c>
      <c r="I10" s="17">
        <v>124.26000000000002</v>
      </c>
    </row>
    <row r="11" spans="2:9" x14ac:dyDescent="0.25">
      <c r="B11" s="2" t="s">
        <v>64</v>
      </c>
      <c r="C11" s="15">
        <v>26.7</v>
      </c>
      <c r="D11" s="16">
        <v>0.33333333333333331</v>
      </c>
      <c r="E11" s="16">
        <v>0.5625</v>
      </c>
      <c r="F11" s="5">
        <v>5.5</v>
      </c>
      <c r="G11" s="17">
        <v>146.85</v>
      </c>
      <c r="H11" s="17">
        <v>11.23</v>
      </c>
      <c r="I11" s="17">
        <v>135.62</v>
      </c>
    </row>
    <row r="12" spans="2:9" x14ac:dyDescent="0.25">
      <c r="B12" s="2" t="s">
        <v>65</v>
      </c>
      <c r="C12" s="15">
        <v>24.3</v>
      </c>
      <c r="D12" s="16">
        <v>0.375</v>
      </c>
      <c r="E12" s="16">
        <v>0.60416666666666674</v>
      </c>
      <c r="F12" s="5">
        <v>5.5000000000000018</v>
      </c>
      <c r="G12" s="17">
        <v>133.65</v>
      </c>
      <c r="H12" s="17">
        <v>10.220000000000001</v>
      </c>
      <c r="I12" s="17">
        <v>123.43</v>
      </c>
    </row>
    <row r="13" spans="2:9" x14ac:dyDescent="0.25">
      <c r="B13" s="2" t="s">
        <v>66</v>
      </c>
      <c r="C13" s="15">
        <v>22.85</v>
      </c>
      <c r="D13" s="16">
        <v>0.33333333333333331</v>
      </c>
      <c r="E13" s="16">
        <v>0.75</v>
      </c>
      <c r="F13" s="5">
        <v>10</v>
      </c>
      <c r="G13" s="17">
        <v>228.5</v>
      </c>
      <c r="H13" s="17">
        <v>17.48</v>
      </c>
      <c r="I13" s="17">
        <v>211.02</v>
      </c>
    </row>
    <row r="14" spans="2:9" x14ac:dyDescent="0.25">
      <c r="B14" s="2" t="s">
        <v>67</v>
      </c>
      <c r="C14" s="15">
        <v>26.98</v>
      </c>
      <c r="D14" s="16">
        <v>0.27083333333333331</v>
      </c>
      <c r="E14" s="16">
        <v>0.47916666666666663</v>
      </c>
      <c r="F14" s="5">
        <v>5</v>
      </c>
      <c r="G14" s="17">
        <v>134.9</v>
      </c>
      <c r="H14" s="17">
        <v>10.32</v>
      </c>
      <c r="I14" s="17">
        <v>124.58000000000001</v>
      </c>
    </row>
    <row r="15" spans="2:9" x14ac:dyDescent="0.25">
      <c r="B15" s="2" t="s">
        <v>68</v>
      </c>
      <c r="C15" s="15">
        <v>17.71</v>
      </c>
      <c r="D15" s="16">
        <v>0.33333333333333331</v>
      </c>
      <c r="E15" s="16">
        <v>0.54166666666666663</v>
      </c>
      <c r="F15" s="5">
        <v>5</v>
      </c>
      <c r="G15" s="17">
        <v>88.55</v>
      </c>
      <c r="H15" s="17">
        <v>6.77</v>
      </c>
      <c r="I15" s="17">
        <v>81.78</v>
      </c>
    </row>
    <row r="16" spans="2:9" x14ac:dyDescent="0.25">
      <c r="B16" s="2" t="s">
        <v>69</v>
      </c>
      <c r="C16" s="15">
        <v>20.12</v>
      </c>
      <c r="D16" s="16">
        <v>0.29166666666666669</v>
      </c>
      <c r="E16" s="16">
        <v>0.68750000000000011</v>
      </c>
      <c r="F16" s="5">
        <v>9.5000000000000018</v>
      </c>
      <c r="G16" s="17">
        <v>191.14</v>
      </c>
      <c r="H16" s="17">
        <v>14.62</v>
      </c>
      <c r="I16" s="17">
        <v>176.51999999999998</v>
      </c>
    </row>
    <row r="17" spans="2:9" x14ac:dyDescent="0.25">
      <c r="B17" s="2" t="s">
        <v>70</v>
      </c>
      <c r="C17" s="15">
        <v>23.69</v>
      </c>
      <c r="D17" s="16">
        <v>0.33333333333333331</v>
      </c>
      <c r="E17" s="16">
        <v>0.625</v>
      </c>
      <c r="F17" s="5">
        <v>7</v>
      </c>
      <c r="G17" s="17">
        <v>165.83</v>
      </c>
      <c r="H17" s="17">
        <v>12.69</v>
      </c>
      <c r="I17" s="17">
        <v>153.14000000000001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0ED8-9741-49F9-95A1-D94DBD488A33}">
  <sheetPr>
    <tabColor rgb="FFFF0000"/>
  </sheetPr>
  <dimension ref="B2:K17"/>
  <sheetViews>
    <sheetView zoomScale="145" zoomScaleNormal="145" workbookViewId="0">
      <selection activeCell="G6" sqref="G6"/>
    </sheetView>
  </sheetViews>
  <sheetFormatPr defaultColWidth="8.85546875" defaultRowHeight="15" x14ac:dyDescent="0.25"/>
  <cols>
    <col min="1" max="1" width="2.42578125" customWidth="1"/>
    <col min="2" max="2" width="16.140625" bestFit="1" customWidth="1"/>
    <col min="3" max="3" width="7.28515625" bestFit="1" customWidth="1"/>
    <col min="4" max="4" width="8" bestFit="1" customWidth="1"/>
    <col min="6" max="6" width="13.85546875" bestFit="1" customWidth="1"/>
    <col min="7" max="7" width="9.42578125" bestFit="1" customWidth="1"/>
    <col min="8" max="8" width="10.140625" bestFit="1" customWidth="1"/>
    <col min="9" max="9" width="9.28515625" bestFit="1" customWidth="1"/>
    <col min="11" max="11" width="19.42578125" bestFit="1" customWidth="1"/>
    <col min="12" max="12" width="21.85546875" bestFit="1" customWidth="1"/>
    <col min="13" max="13" width="18.140625" bestFit="1" customWidth="1"/>
    <col min="14" max="14" width="9.28515625" bestFit="1" customWidth="1"/>
  </cols>
  <sheetData>
    <row r="2" spans="2:11" x14ac:dyDescent="0.25">
      <c r="B2" t="s">
        <v>51</v>
      </c>
    </row>
    <row r="4" spans="2:11" x14ac:dyDescent="0.25">
      <c r="H4" s="11" t="s">
        <v>52</v>
      </c>
    </row>
    <row r="5" spans="2:11" x14ac:dyDescent="0.25">
      <c r="H5" s="2">
        <v>7.6499999999999999E-2</v>
      </c>
    </row>
    <row r="7" spans="2:11" x14ac:dyDescent="0.25">
      <c r="B7" s="14" t="s">
        <v>53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4" t="s">
        <v>60</v>
      </c>
      <c r="K7" s="7" t="s">
        <v>71</v>
      </c>
    </row>
    <row r="8" spans="2:11" x14ac:dyDescent="0.25">
      <c r="B8" s="2" t="s">
        <v>61</v>
      </c>
      <c r="C8" s="15">
        <v>24.94</v>
      </c>
      <c r="D8" s="16">
        <v>0.33333333333333331</v>
      </c>
      <c r="E8" s="16">
        <v>0.64583333333333337</v>
      </c>
      <c r="F8" s="5" cm="1">
        <f t="array" ref="F8:F17">(E8:E17-D8:D17)*24</f>
        <v>7.5000000000000018</v>
      </c>
      <c r="G8" s="18" cm="1">
        <f t="array" ref="G8:G17">ROUND(_xlfn.ANCHORARRAY(F8)*C8:C17,2)</f>
        <v>187.05</v>
      </c>
      <c r="H8" s="18" cm="1">
        <f t="array" ref="H8:H17">ROUND(_xlfn.ANCHORARRAY(G8)*H5,2)</f>
        <v>14.31</v>
      </c>
      <c r="I8" s="18" cm="1">
        <f t="array" ref="I8:I17">_xlfn.ANCHORARRAY(G8)-_xlfn.ANCHORARRAY(H8)</f>
        <v>172.74</v>
      </c>
      <c r="K8" t="str" cm="1">
        <f t="array" aca="1" ref="K8:K11" ca="1">_xlfn.TOCOL(F7:I7&amp;" Formula in Cell "&amp;ADDRESS(ROW(F8:I8),COLUMN(F8:I8),4)&amp;": "&amp;_xlfn.FORMULATEXT(F8:I8))</f>
        <v>Hours Worked Formula in Cell F8: =(E8:E17-D8:D17)*24</v>
      </c>
    </row>
    <row r="9" spans="2:11" x14ac:dyDescent="0.25">
      <c r="B9" s="2" t="s">
        <v>62</v>
      </c>
      <c r="C9" s="15">
        <v>18.14</v>
      </c>
      <c r="D9" s="16">
        <v>0.375</v>
      </c>
      <c r="E9" s="16">
        <v>0.60416666666666674</v>
      </c>
      <c r="F9" s="5">
        <v>5.5000000000000018</v>
      </c>
      <c r="G9" s="18">
        <v>99.77</v>
      </c>
      <c r="H9" s="18">
        <v>7.63</v>
      </c>
      <c r="I9" s="18">
        <v>92.14</v>
      </c>
      <c r="K9" t="str">
        <f ca="1"/>
        <v>Gross Pay Formula in Cell G8: =ROUND(F8#*C8:C17,2)</v>
      </c>
    </row>
    <row r="10" spans="2:11" x14ac:dyDescent="0.25">
      <c r="B10" s="2" t="s">
        <v>63</v>
      </c>
      <c r="C10" s="15">
        <v>17.940000000000001</v>
      </c>
      <c r="D10" s="16">
        <v>0.3125</v>
      </c>
      <c r="E10" s="16">
        <v>0.62500000000000011</v>
      </c>
      <c r="F10" s="5">
        <v>7.5000000000000027</v>
      </c>
      <c r="G10" s="18">
        <v>134.55000000000001</v>
      </c>
      <c r="H10" s="18">
        <v>10.29</v>
      </c>
      <c r="I10" s="18">
        <v>124.26000000000002</v>
      </c>
      <c r="K10" t="str">
        <f ca="1"/>
        <v>Deduction Formula in Cell H8: =ROUND(G8#*H5,2)</v>
      </c>
    </row>
    <row r="11" spans="2:11" x14ac:dyDescent="0.25">
      <c r="B11" s="2" t="s">
        <v>64</v>
      </c>
      <c r="C11" s="15">
        <v>26.7</v>
      </c>
      <c r="D11" s="16">
        <v>0.33333333333333331</v>
      </c>
      <c r="E11" s="16">
        <v>0.5625</v>
      </c>
      <c r="F11" s="5">
        <v>5.5</v>
      </c>
      <c r="G11" s="18">
        <v>146.85</v>
      </c>
      <c r="H11" s="18">
        <v>11.23</v>
      </c>
      <c r="I11" s="18">
        <v>135.62</v>
      </c>
      <c r="K11" t="str">
        <f ca="1"/>
        <v>Day's Pay Formula in Cell I8: =G8#-H8#</v>
      </c>
    </row>
    <row r="12" spans="2:11" x14ac:dyDescent="0.25">
      <c r="B12" s="2" t="s">
        <v>65</v>
      </c>
      <c r="C12" s="15">
        <v>24.3</v>
      </c>
      <c r="D12" s="16">
        <v>0.375</v>
      </c>
      <c r="E12" s="16">
        <v>0.60416666666666674</v>
      </c>
      <c r="F12" s="5">
        <v>5.5000000000000018</v>
      </c>
      <c r="G12" s="18">
        <v>133.65</v>
      </c>
      <c r="H12" s="18">
        <v>10.220000000000001</v>
      </c>
      <c r="I12" s="18">
        <v>123.43</v>
      </c>
    </row>
    <row r="13" spans="2:11" x14ac:dyDescent="0.25">
      <c r="B13" s="2" t="s">
        <v>66</v>
      </c>
      <c r="C13" s="15">
        <v>22.85</v>
      </c>
      <c r="D13" s="16">
        <v>0.33333333333333331</v>
      </c>
      <c r="E13" s="16">
        <v>0.75</v>
      </c>
      <c r="F13" s="5">
        <v>10</v>
      </c>
      <c r="G13" s="18">
        <v>228.5</v>
      </c>
      <c r="H13" s="18">
        <v>17.48</v>
      </c>
      <c r="I13" s="18">
        <v>211.02</v>
      </c>
    </row>
    <row r="14" spans="2:11" x14ac:dyDescent="0.25">
      <c r="B14" s="2" t="s">
        <v>67</v>
      </c>
      <c r="C14" s="15">
        <v>26.98</v>
      </c>
      <c r="D14" s="16">
        <v>0.27083333333333331</v>
      </c>
      <c r="E14" s="16">
        <v>0.47916666666666663</v>
      </c>
      <c r="F14" s="5">
        <v>5</v>
      </c>
      <c r="G14" s="18">
        <v>134.9</v>
      </c>
      <c r="H14" s="18">
        <v>10.32</v>
      </c>
      <c r="I14" s="18">
        <v>124.58000000000001</v>
      </c>
    </row>
    <row r="15" spans="2:11" x14ac:dyDescent="0.25">
      <c r="B15" s="2" t="s">
        <v>68</v>
      </c>
      <c r="C15" s="15">
        <v>17.71</v>
      </c>
      <c r="D15" s="16">
        <v>0.33333333333333331</v>
      </c>
      <c r="E15" s="16">
        <v>0.54166666666666663</v>
      </c>
      <c r="F15" s="5">
        <v>5</v>
      </c>
      <c r="G15" s="18">
        <v>88.55</v>
      </c>
      <c r="H15" s="18">
        <v>6.77</v>
      </c>
      <c r="I15" s="18">
        <v>81.78</v>
      </c>
    </row>
    <row r="16" spans="2:11" x14ac:dyDescent="0.25">
      <c r="B16" s="2" t="s">
        <v>69</v>
      </c>
      <c r="C16" s="15">
        <v>20.12</v>
      </c>
      <c r="D16" s="16">
        <v>0.29166666666666669</v>
      </c>
      <c r="E16" s="16">
        <v>0.68750000000000011</v>
      </c>
      <c r="F16" s="5">
        <v>9.5000000000000018</v>
      </c>
      <c r="G16" s="18">
        <v>191.14</v>
      </c>
      <c r="H16" s="18">
        <v>14.62</v>
      </c>
      <c r="I16" s="18">
        <v>176.51999999999998</v>
      </c>
    </row>
    <row r="17" spans="2:9" x14ac:dyDescent="0.25">
      <c r="B17" s="2" t="s">
        <v>70</v>
      </c>
      <c r="C17" s="15">
        <v>23.69</v>
      </c>
      <c r="D17" s="16">
        <v>0.33333333333333331</v>
      </c>
      <c r="E17" s="16">
        <v>0.625</v>
      </c>
      <c r="F17" s="5">
        <v>7</v>
      </c>
      <c r="G17" s="18">
        <v>165.83</v>
      </c>
      <c r="H17" s="18">
        <v>12.69</v>
      </c>
      <c r="I17" s="18">
        <v>153.14000000000001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F62F-95EB-4945-8202-9F8BEA3EA590}">
  <sheetPr>
    <tabColor rgb="FF0000FF"/>
  </sheetPr>
  <dimension ref="B2:K17"/>
  <sheetViews>
    <sheetView zoomScale="145" zoomScaleNormal="145" workbookViewId="0">
      <selection activeCell="G6" sqref="G6"/>
    </sheetView>
  </sheetViews>
  <sheetFormatPr defaultColWidth="8.85546875" defaultRowHeight="15" x14ac:dyDescent="0.25"/>
  <cols>
    <col min="1" max="1" width="2.42578125" customWidth="1"/>
    <col min="2" max="2" width="16.140625" bestFit="1" customWidth="1"/>
    <col min="3" max="3" width="7.28515625" bestFit="1" customWidth="1"/>
    <col min="4" max="4" width="9.140625" customWidth="1"/>
    <col min="6" max="6" width="13.85546875" bestFit="1" customWidth="1"/>
    <col min="7" max="7" width="9.42578125" bestFit="1" customWidth="1"/>
    <col min="8" max="8" width="10.140625" bestFit="1" customWidth="1"/>
    <col min="9" max="9" width="9.28515625" bestFit="1" customWidth="1"/>
    <col min="11" max="11" width="19.42578125" bestFit="1" customWidth="1"/>
    <col min="12" max="12" width="21.85546875" bestFit="1" customWidth="1"/>
    <col min="13" max="13" width="18.140625" bestFit="1" customWidth="1"/>
    <col min="14" max="14" width="9.28515625" bestFit="1" customWidth="1"/>
  </cols>
  <sheetData>
    <row r="2" spans="2:11" x14ac:dyDescent="0.25">
      <c r="B2" t="s">
        <v>51</v>
      </c>
    </row>
    <row r="4" spans="2:11" x14ac:dyDescent="0.25">
      <c r="H4" s="11" t="s">
        <v>52</v>
      </c>
    </row>
    <row r="5" spans="2:11" x14ac:dyDescent="0.25">
      <c r="H5" s="2">
        <v>7.6499999999999999E-2</v>
      </c>
    </row>
    <row r="7" spans="2:11" x14ac:dyDescent="0.25">
      <c r="B7" s="14" t="s">
        <v>53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4" t="s">
        <v>60</v>
      </c>
      <c r="K7" s="7" t="s">
        <v>71</v>
      </c>
    </row>
    <row r="8" spans="2:11" x14ac:dyDescent="0.25">
      <c r="B8" s="2" t="s">
        <v>61</v>
      </c>
      <c r="C8" s="15">
        <v>24.94</v>
      </c>
      <c r="D8" s="16">
        <v>0.33333333333333331</v>
      </c>
      <c r="E8" s="16">
        <v>0.64583333333333337</v>
      </c>
      <c r="F8" s="5" cm="1">
        <f t="array" ref="F8:F17">MOD(E8:E17-D8:D17,1)*24</f>
        <v>7.5000000000000018</v>
      </c>
      <c r="G8" s="17" cm="1">
        <f t="array" ref="G8:G17">ROUND(_xlfn.ANCHORARRAY(F8)*C8:C17,2)</f>
        <v>187.05</v>
      </c>
      <c r="H8" s="17" cm="1">
        <f t="array" ref="H8:H17">ROUND(_xlfn.ANCHORARRAY(G8)*H5,2)</f>
        <v>14.31</v>
      </c>
      <c r="I8" s="17" cm="1">
        <f t="array" ref="I8:I17">_xlfn.ANCHORARRAY(G8)-_xlfn.ANCHORARRAY(H8)</f>
        <v>172.74</v>
      </c>
    </row>
    <row r="9" spans="2:11" x14ac:dyDescent="0.25">
      <c r="B9" s="2" t="s">
        <v>62</v>
      </c>
      <c r="C9" s="15">
        <v>18.14</v>
      </c>
      <c r="D9" s="16">
        <v>0.375</v>
      </c>
      <c r="E9" s="16">
        <v>0.60416666666666674</v>
      </c>
      <c r="F9" s="5">
        <v>5.5000000000000018</v>
      </c>
      <c r="G9" s="17">
        <v>99.77</v>
      </c>
      <c r="H9" s="17">
        <v>7.63</v>
      </c>
      <c r="I9" s="17">
        <v>92.14</v>
      </c>
    </row>
    <row r="10" spans="2:11" x14ac:dyDescent="0.25">
      <c r="B10" s="2" t="s">
        <v>63</v>
      </c>
      <c r="C10" s="15">
        <v>17.940000000000001</v>
      </c>
      <c r="D10" s="16">
        <v>0.3125</v>
      </c>
      <c r="E10" s="16">
        <v>0.62500000000000011</v>
      </c>
      <c r="F10" s="5">
        <v>7.5000000000000027</v>
      </c>
      <c r="G10" s="17">
        <v>134.55000000000001</v>
      </c>
      <c r="H10" s="17">
        <v>10.29</v>
      </c>
      <c r="I10" s="17">
        <v>124.26000000000002</v>
      </c>
    </row>
    <row r="11" spans="2:11" x14ac:dyDescent="0.25">
      <c r="B11" s="2" t="s">
        <v>64</v>
      </c>
      <c r="C11" s="15">
        <v>26.7</v>
      </c>
      <c r="D11" s="16">
        <v>0.33333333333333331</v>
      </c>
      <c r="E11" s="16">
        <v>0.5625</v>
      </c>
      <c r="F11" s="5">
        <v>5.5</v>
      </c>
      <c r="G11" s="17">
        <v>146.85</v>
      </c>
      <c r="H11" s="17">
        <v>11.23</v>
      </c>
      <c r="I11" s="17">
        <v>135.62</v>
      </c>
    </row>
    <row r="12" spans="2:11" x14ac:dyDescent="0.25">
      <c r="B12" s="2" t="s">
        <v>65</v>
      </c>
      <c r="C12" s="15">
        <v>24.3</v>
      </c>
      <c r="D12" s="16">
        <v>0.375</v>
      </c>
      <c r="E12" s="16">
        <v>0.60416666666666674</v>
      </c>
      <c r="F12" s="5">
        <v>5.5000000000000018</v>
      </c>
      <c r="G12" s="17">
        <v>133.65</v>
      </c>
      <c r="H12" s="17">
        <v>10.220000000000001</v>
      </c>
      <c r="I12" s="17">
        <v>123.43</v>
      </c>
    </row>
    <row r="13" spans="2:11" x14ac:dyDescent="0.25">
      <c r="B13" s="2" t="s">
        <v>66</v>
      </c>
      <c r="C13" s="15">
        <v>22.85</v>
      </c>
      <c r="D13" s="16">
        <v>0.33333333333333331</v>
      </c>
      <c r="E13" s="16">
        <v>0.75</v>
      </c>
      <c r="F13" s="5">
        <v>10</v>
      </c>
      <c r="G13" s="17">
        <v>228.5</v>
      </c>
      <c r="H13" s="17">
        <v>17.48</v>
      </c>
      <c r="I13" s="17">
        <v>211.02</v>
      </c>
    </row>
    <row r="14" spans="2:11" x14ac:dyDescent="0.25">
      <c r="B14" s="2" t="s">
        <v>67</v>
      </c>
      <c r="C14" s="15">
        <v>26.98</v>
      </c>
      <c r="D14" s="16">
        <v>0.70833333333333337</v>
      </c>
      <c r="E14" s="16">
        <v>4.1666666666666664E-2</v>
      </c>
      <c r="F14" s="5">
        <v>7.9999999999999982</v>
      </c>
      <c r="G14" s="17">
        <v>215.84</v>
      </c>
      <c r="H14" s="17">
        <v>16.510000000000002</v>
      </c>
      <c r="I14" s="17">
        <v>199.33</v>
      </c>
    </row>
    <row r="15" spans="2:11" x14ac:dyDescent="0.25">
      <c r="B15" s="2" t="s">
        <v>68</v>
      </c>
      <c r="C15" s="15">
        <v>17.71</v>
      </c>
      <c r="D15" s="16">
        <v>0.75</v>
      </c>
      <c r="E15" s="16">
        <v>9.375E-2</v>
      </c>
      <c r="F15" s="5">
        <v>8.25</v>
      </c>
      <c r="G15" s="17">
        <v>146.11000000000001</v>
      </c>
      <c r="H15" s="17">
        <v>11.18</v>
      </c>
      <c r="I15" s="17">
        <v>134.93</v>
      </c>
    </row>
    <row r="16" spans="2:11" x14ac:dyDescent="0.25">
      <c r="B16" s="2" t="s">
        <v>69</v>
      </c>
      <c r="C16" s="15">
        <v>20.12</v>
      </c>
      <c r="D16" s="16">
        <v>0.95833333333333337</v>
      </c>
      <c r="E16" s="16">
        <v>0.27083333333333331</v>
      </c>
      <c r="F16" s="5">
        <v>7.5</v>
      </c>
      <c r="G16" s="17">
        <v>150.9</v>
      </c>
      <c r="H16" s="17">
        <v>11.54</v>
      </c>
      <c r="I16" s="17">
        <v>139.36000000000001</v>
      </c>
    </row>
    <row r="17" spans="2:9" x14ac:dyDescent="0.25">
      <c r="B17" s="2" t="s">
        <v>70</v>
      </c>
      <c r="C17" s="15">
        <v>23.69</v>
      </c>
      <c r="D17" s="16">
        <v>0.9375</v>
      </c>
      <c r="E17" s="16">
        <v>0.33333333333333331</v>
      </c>
      <c r="F17" s="5">
        <v>9.4999999999999982</v>
      </c>
      <c r="G17" s="17">
        <v>225.06</v>
      </c>
      <c r="H17" s="17">
        <v>17.22</v>
      </c>
      <c r="I17" s="17">
        <v>207.84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279B-99C4-4FB0-8A90-1F27A40D90F3}">
  <sheetPr>
    <tabColor rgb="FFFF0000"/>
  </sheetPr>
  <dimension ref="B2:K17"/>
  <sheetViews>
    <sheetView zoomScale="85" zoomScaleNormal="85" workbookViewId="0">
      <selection activeCell="G6" sqref="G6"/>
    </sheetView>
  </sheetViews>
  <sheetFormatPr defaultColWidth="8.85546875" defaultRowHeight="15" x14ac:dyDescent="0.25"/>
  <cols>
    <col min="1" max="1" width="2.42578125" customWidth="1"/>
    <col min="2" max="2" width="16.140625" bestFit="1" customWidth="1"/>
    <col min="3" max="3" width="7.28515625" bestFit="1" customWidth="1"/>
    <col min="4" max="4" width="8.28515625" bestFit="1" customWidth="1"/>
    <col min="6" max="6" width="13.85546875" bestFit="1" customWidth="1"/>
    <col min="7" max="7" width="9.42578125" bestFit="1" customWidth="1"/>
    <col min="8" max="8" width="10.140625" bestFit="1" customWidth="1"/>
    <col min="9" max="9" width="9.28515625" bestFit="1" customWidth="1"/>
    <col min="11" max="11" width="19.42578125" bestFit="1" customWidth="1"/>
    <col min="12" max="12" width="21.85546875" bestFit="1" customWidth="1"/>
    <col min="13" max="13" width="18.140625" bestFit="1" customWidth="1"/>
    <col min="14" max="14" width="9.28515625" bestFit="1" customWidth="1"/>
  </cols>
  <sheetData>
    <row r="2" spans="2:11" x14ac:dyDescent="0.25">
      <c r="B2" t="s">
        <v>51</v>
      </c>
    </row>
    <row r="4" spans="2:11" x14ac:dyDescent="0.25">
      <c r="H4" s="11" t="s">
        <v>52</v>
      </c>
    </row>
    <row r="5" spans="2:11" x14ac:dyDescent="0.25">
      <c r="H5" s="2">
        <v>7.6499999999999999E-2</v>
      </c>
    </row>
    <row r="7" spans="2:11" x14ac:dyDescent="0.25">
      <c r="B7" s="14" t="s">
        <v>53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4" t="s">
        <v>60</v>
      </c>
      <c r="K7" s="7" t="s">
        <v>71</v>
      </c>
    </row>
    <row r="8" spans="2:11" x14ac:dyDescent="0.25">
      <c r="B8" s="2" t="s">
        <v>61</v>
      </c>
      <c r="C8" s="15">
        <v>24.94</v>
      </c>
      <c r="D8" s="16">
        <v>0.33333333333333331</v>
      </c>
      <c r="E8" s="16">
        <v>0.64583333333333337</v>
      </c>
      <c r="F8" s="5" cm="1">
        <f t="array" ref="F8:F17">MOD(E8:E17-D8:D17,1)*24</f>
        <v>7.5000000000000018</v>
      </c>
      <c r="G8" s="18" cm="1">
        <f t="array" ref="G8:G17">ROUND(_xlfn.ANCHORARRAY(F8)*C8:C17,2)</f>
        <v>187.05</v>
      </c>
      <c r="H8" s="18" cm="1">
        <f t="array" ref="H8:H17">ROUND(_xlfn.ANCHORARRAY(G8)*H5,2)</f>
        <v>14.31</v>
      </c>
      <c r="I8" s="18" cm="1">
        <f t="array" ref="I8:I17">_xlfn.ANCHORARRAY(G8)-_xlfn.ANCHORARRAY(H8)</f>
        <v>172.74</v>
      </c>
      <c r="K8" t="str" cm="1">
        <f t="array" aca="1" ref="K8:K11" ca="1">_xlfn.TOCOL(F7:I7&amp;" Formula in Cell "&amp;ADDRESS(ROW(F8:I8),COLUMN(F8:I8),4)&amp;": "&amp;_xlfn.FORMULATEXT(F8:I8))</f>
        <v>Hours Worked Formula in Cell F8: =MOD(E8:E17-D8:D17,1)*24</v>
      </c>
    </row>
    <row r="9" spans="2:11" x14ac:dyDescent="0.25">
      <c r="B9" s="2" t="s">
        <v>62</v>
      </c>
      <c r="C9" s="15">
        <v>18.14</v>
      </c>
      <c r="D9" s="16">
        <v>0.375</v>
      </c>
      <c r="E9" s="16">
        <v>0.60416666666666674</v>
      </c>
      <c r="F9" s="5">
        <v>5.5000000000000018</v>
      </c>
      <c r="G9" s="18">
        <v>99.77</v>
      </c>
      <c r="H9" s="18">
        <v>7.63</v>
      </c>
      <c r="I9" s="18">
        <v>92.14</v>
      </c>
      <c r="K9" t="str">
        <f ca="1"/>
        <v>Gross Pay Formula in Cell G8: =ROUND(F8#*C8:C17,2)</v>
      </c>
    </row>
    <row r="10" spans="2:11" x14ac:dyDescent="0.25">
      <c r="B10" s="2" t="s">
        <v>63</v>
      </c>
      <c r="C10" s="15">
        <v>17.940000000000001</v>
      </c>
      <c r="D10" s="16">
        <v>0.3125</v>
      </c>
      <c r="E10" s="16">
        <v>0.62500000000000011</v>
      </c>
      <c r="F10" s="5">
        <v>7.5000000000000027</v>
      </c>
      <c r="G10" s="18">
        <v>134.55000000000001</v>
      </c>
      <c r="H10" s="18">
        <v>10.29</v>
      </c>
      <c r="I10" s="18">
        <v>124.26000000000002</v>
      </c>
      <c r="K10" t="str">
        <f ca="1"/>
        <v>Deduction Formula in Cell H8: =ROUND(G8#*H5,2)</v>
      </c>
    </row>
    <row r="11" spans="2:11" x14ac:dyDescent="0.25">
      <c r="B11" s="2" t="s">
        <v>64</v>
      </c>
      <c r="C11" s="15">
        <v>26.7</v>
      </c>
      <c r="D11" s="16">
        <v>0.33333333333333331</v>
      </c>
      <c r="E11" s="16">
        <v>0.5625</v>
      </c>
      <c r="F11" s="5">
        <v>5.5</v>
      </c>
      <c r="G11" s="18">
        <v>146.85</v>
      </c>
      <c r="H11" s="18">
        <v>11.23</v>
      </c>
      <c r="I11" s="18">
        <v>135.62</v>
      </c>
      <c r="K11" t="str">
        <f ca="1"/>
        <v>Day's Pay Formula in Cell I8: =G8#-H8#</v>
      </c>
    </row>
    <row r="12" spans="2:11" x14ac:dyDescent="0.25">
      <c r="B12" s="2" t="s">
        <v>65</v>
      </c>
      <c r="C12" s="15">
        <v>24.3</v>
      </c>
      <c r="D12" s="16">
        <v>0.375</v>
      </c>
      <c r="E12" s="16">
        <v>0.60416666666666674</v>
      </c>
      <c r="F12" s="5">
        <v>5.5000000000000018</v>
      </c>
      <c r="G12" s="18">
        <v>133.65</v>
      </c>
      <c r="H12" s="18">
        <v>10.220000000000001</v>
      </c>
      <c r="I12" s="18">
        <v>123.43</v>
      </c>
    </row>
    <row r="13" spans="2:11" x14ac:dyDescent="0.25">
      <c r="B13" s="2" t="s">
        <v>66</v>
      </c>
      <c r="C13" s="15">
        <v>22.85</v>
      </c>
      <c r="D13" s="16">
        <v>0.33333333333333331</v>
      </c>
      <c r="E13" s="16">
        <v>0.75</v>
      </c>
      <c r="F13" s="5">
        <v>10</v>
      </c>
      <c r="G13" s="18">
        <v>228.5</v>
      </c>
      <c r="H13" s="18">
        <v>17.48</v>
      </c>
      <c r="I13" s="18">
        <v>211.02</v>
      </c>
    </row>
    <row r="14" spans="2:11" x14ac:dyDescent="0.25">
      <c r="B14" s="2" t="s">
        <v>67</v>
      </c>
      <c r="C14" s="15">
        <v>26.98</v>
      </c>
      <c r="D14" s="16">
        <v>0.70833333333333337</v>
      </c>
      <c r="E14" s="16">
        <v>4.1666666666666664E-2</v>
      </c>
      <c r="F14" s="5">
        <v>7.9999999999999982</v>
      </c>
      <c r="G14" s="18">
        <v>215.84</v>
      </c>
      <c r="H14" s="18">
        <v>16.510000000000002</v>
      </c>
      <c r="I14" s="18">
        <v>199.33</v>
      </c>
    </row>
    <row r="15" spans="2:11" x14ac:dyDescent="0.25">
      <c r="B15" s="2" t="s">
        <v>68</v>
      </c>
      <c r="C15" s="15">
        <v>17.71</v>
      </c>
      <c r="D15" s="16">
        <v>0.75</v>
      </c>
      <c r="E15" s="16">
        <v>9.375E-2</v>
      </c>
      <c r="F15" s="5">
        <v>8.25</v>
      </c>
      <c r="G15" s="18">
        <v>146.11000000000001</v>
      </c>
      <c r="H15" s="18">
        <v>11.18</v>
      </c>
      <c r="I15" s="18">
        <v>134.93</v>
      </c>
    </row>
    <row r="16" spans="2:11" x14ac:dyDescent="0.25">
      <c r="B16" s="2" t="s">
        <v>69</v>
      </c>
      <c r="C16" s="15">
        <v>20.12</v>
      </c>
      <c r="D16" s="16">
        <v>0.95833333333333337</v>
      </c>
      <c r="E16" s="16">
        <v>0.27083333333333331</v>
      </c>
      <c r="F16" s="5">
        <v>7.5</v>
      </c>
      <c r="G16" s="18">
        <v>150.9</v>
      </c>
      <c r="H16" s="18">
        <v>11.54</v>
      </c>
      <c r="I16" s="18">
        <v>139.36000000000001</v>
      </c>
    </row>
    <row r="17" spans="2:9" x14ac:dyDescent="0.25">
      <c r="B17" s="2" t="s">
        <v>70</v>
      </c>
      <c r="C17" s="15">
        <v>23.69</v>
      </c>
      <c r="D17" s="16">
        <v>0.9375</v>
      </c>
      <c r="E17" s="16">
        <v>0.33333333333333331</v>
      </c>
      <c r="F17" s="5">
        <v>9.4999999999999982</v>
      </c>
      <c r="G17" s="18">
        <v>225.06</v>
      </c>
      <c r="H17" s="18">
        <v>17.22</v>
      </c>
      <c r="I17" s="18">
        <v>207.84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HW(1)</vt:lpstr>
      <vt:lpstr>HW(1an)</vt:lpstr>
      <vt:lpstr>HW(2)</vt:lpstr>
      <vt:lpstr>HW(2an)</vt:lpstr>
      <vt:lpstr>HW(3)</vt:lpstr>
      <vt:lpstr>HW(3an)</vt:lpstr>
      <vt:lpstr>HW(4)</vt:lpstr>
      <vt:lpstr>HW(4an)</vt:lpstr>
      <vt:lpstr>HW(5)</vt:lpstr>
      <vt:lpstr>HW(5an)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2026-08-06T14:25:20Z</dcterms:created>
  <dcterms:modified xsi:type="dcterms:W3CDTF">2026-08-06T14:25:54Z</dcterms:modified>
</cp:coreProperties>
</file>