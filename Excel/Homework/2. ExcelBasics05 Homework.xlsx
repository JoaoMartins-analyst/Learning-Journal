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oão Martins\Desktop\Data Analyst Journey\Excel\"/>
    </mc:Choice>
  </mc:AlternateContent>
  <xr:revisionPtr revIDLastSave="0" documentId="13_ncr:1_{11E3FA0B-3B75-4C30-980B-A5B00A970345}" xr6:coauthVersionLast="47" xr6:coauthVersionMax="47" xr10:uidLastSave="{00000000-0000-0000-0000-000000000000}"/>
  <bookViews>
    <workbookView xWindow="-120" yWindow="-120" windowWidth="38640" windowHeight="21120" activeTab="2" xr2:uid="{E2201541-FE10-4728-BD71-C047A281DDAB}"/>
  </bookViews>
  <sheets>
    <sheet name="HW(1-3)" sheetId="1" r:id="rId1"/>
    <sheet name="HW(1-3) (an)" sheetId="2" r:id="rId2"/>
    <sheet name="HW(4)" sheetId="3" r:id="rId3"/>
    <sheet name="HW(4an)" sheetId="4" r:id="rId4"/>
    <sheet name="HW(5)" sheetId="5" r:id="rId5"/>
    <sheet name="HW(5an)" sheetId="6" r:id="rId6"/>
    <sheet name="HW(6)" sheetId="7" r:id="rId7"/>
    <sheet name="HW(6an)" sheetId="8" r:id="rId8"/>
    <sheet name="HW(7)" sheetId="9" r:id="rId9"/>
    <sheet name="HW(7an)" sheetId="10" r:id="rId10"/>
    <sheet name="HW(8)" sheetId="11" r:id="rId11"/>
    <sheet name="HW(8an)" sheetId="12" r:id="rId12"/>
  </sheets>
  <externalReferences>
    <externalReference r:id="rId13"/>
    <externalReference r:id="rId14"/>
  </externalReferences>
  <definedNames>
    <definedName name="CallRepCondition">'[1]Ch12(31-34an)'!$G$9</definedName>
    <definedName name="Country">'[2]Ch13(38)'!$B$7:$B$26</definedName>
    <definedName name="CountryAnswer">'[2]Ch13(38an)'!$B$7:$B$26</definedName>
    <definedName name="DateAnswer">'[2]Ch13(35an)'!$B$8:$B$27</definedName>
    <definedName name="Sales">'[2]Ch13(35)'!$C$8:$C$27</definedName>
    <definedName name="Sales_Answer">'[2]Ch13(38an)'!$D$7:$D$26</definedName>
    <definedName name="SalesAnswer">'[2]Ch13(35an)'!$C$8:$C$27</definedName>
    <definedName name="SalesRep">'[2]Ch13(38)'!$C$7:$C$26</definedName>
    <definedName name="SalesRepAnswer">'[2]Ch13(38an)'!$C$7:$C$26</definedName>
    <definedName name="ShowFormulas">_xlfn.LAMBDA(_xlpm.Reference,_xlfn.LET(_xlpm.c,_xlpm.Reference,_xlfn.IFNA(ADDRESS(ROW(_xlpm.c),COLUMN(_xlpm.c),4)&amp;": "&amp;_xlfn.FORMULATEXT(_xlpm.c),"")))</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9" i="3" l="1"/>
  <c r="G10" i="3"/>
  <c r="G11" i="3"/>
  <c r="G12" i="3"/>
  <c r="G13" i="3"/>
  <c r="G14" i="3"/>
  <c r="G15" i="3"/>
  <c r="G16" i="3"/>
  <c r="G17" i="3"/>
  <c r="G18" i="3"/>
  <c r="G8" i="3"/>
  <c r="F21" i="12"/>
  <c r="F20" i="12"/>
  <c r="F19" i="12"/>
  <c r="F18" i="12"/>
  <c r="F17" i="12"/>
  <c r="F16" i="12"/>
  <c r="F15" i="12"/>
  <c r="F14" i="12"/>
  <c r="F13" i="12"/>
  <c r="I12" i="12" a="1"/>
  <c r="G12" i="12" a="1"/>
  <c r="F12" i="12"/>
  <c r="B4" i="12"/>
  <c r="F21" i="11"/>
  <c r="F20" i="11"/>
  <c r="F19" i="11"/>
  <c r="F18" i="11"/>
  <c r="F17" i="11"/>
  <c r="F16" i="11"/>
  <c r="F15" i="11"/>
  <c r="F14" i="11"/>
  <c r="F13" i="11"/>
  <c r="G12" i="11" a="1"/>
  <c r="F12" i="11"/>
  <c r="B4" i="11"/>
  <c r="F21" i="10"/>
  <c r="F20" i="10"/>
  <c r="F19" i="10"/>
  <c r="F18" i="10"/>
  <c r="F17" i="10"/>
  <c r="F16" i="10"/>
  <c r="F15" i="10"/>
  <c r="F14" i="10"/>
  <c r="I13" i="10"/>
  <c r="F13" i="10"/>
  <c r="I12" i="10"/>
  <c r="G12" i="10" a="1"/>
  <c r="F12" i="10"/>
  <c r="B4" i="10"/>
  <c r="G21" i="9"/>
  <c r="G20" i="9"/>
  <c r="G19" i="9"/>
  <c r="G18" i="9"/>
  <c r="G17" i="9"/>
  <c r="G16" i="9"/>
  <c r="G15" i="9"/>
  <c r="G14" i="9"/>
  <c r="G13" i="9"/>
  <c r="G12" i="9"/>
  <c r="F12" i="9" a="1"/>
  <c r="B4" i="9"/>
  <c r="H19" i="8" a="1"/>
  <c r="K13" i="8" a="1"/>
  <c r="D13" i="8" a="1"/>
  <c r="K13" i="7" a="1"/>
  <c r="E13" i="7" a="1"/>
  <c r="D13" i="7" a="1"/>
  <c r="G31" i="6"/>
  <c r="G30" i="6"/>
  <c r="G29" i="6"/>
  <c r="G28" i="6"/>
  <c r="G27" i="6"/>
  <c r="G26" i="6"/>
  <c r="G25" i="6"/>
  <c r="G24" i="6"/>
  <c r="G23" i="6"/>
  <c r="G22" i="6"/>
  <c r="G21" i="6"/>
  <c r="G20" i="6"/>
  <c r="G19" i="6"/>
  <c r="G18" i="6"/>
  <c r="G17" i="6"/>
  <c r="M16" i="6" a="1"/>
  <c r="G16" i="6"/>
  <c r="K13" i="6"/>
  <c r="J13" i="6"/>
  <c r="I13" i="6"/>
  <c r="H13" i="6"/>
  <c r="K12" i="6"/>
  <c r="J12" i="6"/>
  <c r="I12" i="6"/>
  <c r="H12" i="6"/>
  <c r="K11" i="6"/>
  <c r="J11" i="6"/>
  <c r="I11" i="6"/>
  <c r="H11" i="6"/>
  <c r="B8" i="6"/>
  <c r="B7" i="6"/>
  <c r="B6" i="6"/>
  <c r="B5" i="6"/>
  <c r="B4" i="6"/>
  <c r="B3" i="6"/>
  <c r="G31" i="5"/>
  <c r="G30" i="5"/>
  <c r="G29" i="5"/>
  <c r="G28" i="5"/>
  <c r="G27" i="5"/>
  <c r="G26" i="5"/>
  <c r="G25" i="5"/>
  <c r="G24" i="5"/>
  <c r="G23" i="5"/>
  <c r="G22" i="5"/>
  <c r="G21" i="5"/>
  <c r="G20" i="5"/>
  <c r="G19" i="5"/>
  <c r="G18" i="5"/>
  <c r="G17" i="5"/>
  <c r="G16" i="5"/>
  <c r="K14" i="5"/>
  <c r="J14" i="5"/>
  <c r="I14" i="5"/>
  <c r="H14" i="5"/>
  <c r="B8" i="5"/>
  <c r="B7" i="5"/>
  <c r="B6" i="5"/>
  <c r="B5" i="5"/>
  <c r="B4" i="5"/>
  <c r="B3" i="5"/>
  <c r="J18" i="4"/>
  <c r="G18" i="4"/>
  <c r="J17" i="4"/>
  <c r="G17" i="4"/>
  <c r="J16" i="4"/>
  <c r="G16" i="4"/>
  <c r="J15" i="4"/>
  <c r="G15" i="4"/>
  <c r="J14" i="4"/>
  <c r="G14" i="4"/>
  <c r="J13" i="4"/>
  <c r="G13" i="4"/>
  <c r="J12" i="4"/>
  <c r="G12" i="4"/>
  <c r="N8" i="4" a="1"/>
  <c r="L8" i="4"/>
  <c r="J8" i="4"/>
  <c r="I8" i="4"/>
  <c r="G8" i="4"/>
  <c r="L7" i="4"/>
  <c r="I7" i="4"/>
  <c r="R8" i="3"/>
  <c r="P8" i="3" a="1"/>
  <c r="R7" i="3"/>
  <c r="J15" i="2" a="1"/>
  <c r="I5" i="2"/>
  <c r="G5" i="2" a="1"/>
  <c r="F5" i="2" a="1"/>
  <c r="E5" i="2" a="1"/>
  <c r="I4" i="2"/>
  <c r="G2" i="2"/>
  <c r="G24" i="1"/>
  <c r="F24" i="1"/>
  <c r="E24" i="1"/>
  <c r="G23" i="1"/>
  <c r="F23" i="1"/>
  <c r="E23" i="1"/>
  <c r="G22" i="1"/>
  <c r="F22" i="1"/>
  <c r="E22" i="1"/>
  <c r="G21" i="1"/>
  <c r="F21" i="1"/>
  <c r="E21" i="1"/>
  <c r="G20" i="1"/>
  <c r="F20" i="1"/>
  <c r="E20" i="1"/>
  <c r="G19" i="1"/>
  <c r="F19" i="1"/>
  <c r="E19" i="1"/>
  <c r="G18" i="1"/>
  <c r="F18" i="1"/>
  <c r="E18" i="1"/>
  <c r="G17" i="1"/>
  <c r="F17" i="1"/>
  <c r="E17" i="1"/>
  <c r="G16" i="1"/>
  <c r="F16" i="1"/>
  <c r="E16" i="1"/>
  <c r="G15" i="1"/>
  <c r="F15" i="1"/>
  <c r="E15" i="1"/>
  <c r="G14" i="1"/>
  <c r="F14" i="1"/>
  <c r="E14" i="1"/>
  <c r="G13" i="1"/>
  <c r="F13" i="1"/>
  <c r="E13" i="1"/>
  <c r="G12" i="1"/>
  <c r="F12" i="1"/>
  <c r="E12" i="1"/>
  <c r="G11" i="1"/>
  <c r="F11" i="1"/>
  <c r="E11" i="1"/>
  <c r="G10" i="1"/>
  <c r="F10" i="1"/>
  <c r="E10" i="1"/>
  <c r="G9" i="1"/>
  <c r="F9" i="1"/>
  <c r="E9" i="1"/>
  <c r="G8" i="1"/>
  <c r="F8" i="1"/>
  <c r="E8" i="1"/>
  <c r="G7" i="1"/>
  <c r="F7" i="1"/>
  <c r="E7" i="1"/>
  <c r="G6" i="1"/>
  <c r="F6" i="1"/>
  <c r="E6" i="1"/>
  <c r="I5" i="1"/>
  <c r="G5" i="1"/>
  <c r="F5" i="1"/>
  <c r="E5" i="1"/>
  <c r="I4" i="1"/>
  <c r="G2" i="1"/>
  <c r="F2" i="1"/>
  <c r="E2" i="1"/>
  <c r="H16" i="6" l="1" a="1"/>
  <c r="K16" i="6" a="1"/>
  <c r="I16" i="6" a="1"/>
  <c r="J16" i="6" a="1"/>
  <c r="K16" i="5" a="1"/>
  <c r="J16" i="5" a="1"/>
  <c r="I16" i="5" a="1"/>
  <c r="H16" i="5" a="1"/>
  <c r="J9" i="4"/>
  <c r="G9" i="4"/>
  <c r="F2" i="2"/>
  <c r="E2" i="2"/>
  <c r="G10" i="4" l="1"/>
  <c r="J10" i="4"/>
  <c r="G11" i="4" l="1"/>
  <c r="J11"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<sst xmlns="http://schemas.openxmlformats.org/spreadsheetml/2006/main" count="348" uniqueCount="108">
  <si>
    <t>Goals:</t>
  </si>
  <si>
    <t>Employee</t>
  </si>
  <si>
    <t>Cell Phone Data Use (GB)</t>
  </si>
  <si>
    <t>Sales</t>
  </si>
  <si>
    <t>Bonus Yes/No?</t>
  </si>
  <si>
    <t>Bonus Amount or zero</t>
  </si>
  <si>
    <t>Extra Charge or Under?</t>
  </si>
  <si>
    <t>Felipe Truscott</t>
  </si>
  <si>
    <t>Johnathan Godlewski</t>
  </si>
  <si>
    <t>Bonus Hurdle</t>
  </si>
  <si>
    <t>Johnathan Iannone</t>
  </si>
  <si>
    <t>Bonus If Hurdle Surpassed</t>
  </si>
  <si>
    <t>Cathrine Beaston</t>
  </si>
  <si>
    <t>Damon Czyz</t>
  </si>
  <si>
    <t>Rudolph Seabaugh</t>
  </si>
  <si>
    <t>Felipe Gramling</t>
  </si>
  <si>
    <t>Cell phone contract reads: If data usage is less than 2.5 GB, there is no extra charge.</t>
  </si>
  <si>
    <t>Kelvin Likes</t>
  </si>
  <si>
    <t>Data Usage Hurdle in GB:</t>
  </si>
  <si>
    <t>Rudolph Niewiadomski</t>
  </si>
  <si>
    <t>Alton Berrey</t>
  </si>
  <si>
    <t>Shanda Bovard</t>
  </si>
  <si>
    <t>Bennie Margulies</t>
  </si>
  <si>
    <t>Lashawn Vicks</t>
  </si>
  <si>
    <t>Daniela Vadenais</t>
  </si>
  <si>
    <t>Geoffrey Kennebeck</t>
  </si>
  <si>
    <t>Lyn Glade</t>
  </si>
  <si>
    <t>Shanda Lorentzen</t>
  </si>
  <si>
    <t>Valencia Tenpenny</t>
  </si>
  <si>
    <t>Bella Wohlenhaus</t>
  </si>
  <si>
    <t>Adelina Fontenette</t>
  </si>
  <si>
    <r>
      <rPr>
        <b/>
        <sz val="11"/>
        <color theme="1"/>
        <rFont val="Calibri"/>
        <family val="2"/>
        <scheme val="minor"/>
      </rPr>
      <t>Goal:</t>
    </r>
    <r>
      <rPr>
        <sz val="11"/>
        <color theme="1"/>
        <rFont val="Calibri"/>
        <family val="2"/>
        <scheme val="minor"/>
      </rPr>
      <t xml:space="preserve"> Create Formula that runs a checkbook balance formula if a date is entered in the date column.</t>
    </r>
  </si>
  <si>
    <t>Use IF to deliver 1 of 2 items, either a formula or "" (show nothing - zero length text string).</t>
  </si>
  <si>
    <t>Create formula in cell G8 and then copy through range G8:G18.</t>
  </si>
  <si>
    <t>Date</t>
  </si>
  <si>
    <t>Check #/Trans #</t>
  </si>
  <si>
    <t>Description</t>
  </si>
  <si>
    <t>Add</t>
  </si>
  <si>
    <t>Subtract</t>
  </si>
  <si>
    <t>Checkbook Balance</t>
  </si>
  <si>
    <t>Spilled formula:</t>
  </si>
  <si>
    <t>Bal. Forward</t>
  </si>
  <si>
    <t>Ch. 1034</t>
  </si>
  <si>
    <t>Rent</t>
  </si>
  <si>
    <t>Dept 5458</t>
  </si>
  <si>
    <t>Pay</t>
  </si>
  <si>
    <t>Ch 1035</t>
  </si>
  <si>
    <t>Dept 5511</t>
  </si>
  <si>
    <t>Advanced Spilled formula:</t>
  </si>
  <si>
    <t>Dynamic Spilled Array</t>
  </si>
  <si>
    <t>Goal:</t>
  </si>
  <si>
    <t>For the two IF function formulas, the text values of 'Target Met' and 'No' will not change so you can hard code them into formula.</t>
  </si>
  <si>
    <t>Target</t>
  </si>
  <si>
    <t>Quarter</t>
  </si>
  <si>
    <t>Dept</t>
  </si>
  <si>
    <t>Class</t>
  </si>
  <si>
    <t>Student Cap</t>
  </si>
  <si>
    <t>Enrollment</t>
  </si>
  <si>
    <t>% Enrolled</t>
  </si>
  <si>
    <t>Met Target? T/F.</t>
  </si>
  <si>
    <t>Met Target? "Target Met"
or "No"</t>
  </si>
  <si>
    <t>Q1</t>
  </si>
  <si>
    <t>Math</t>
  </si>
  <si>
    <t>Busn 101</t>
  </si>
  <si>
    <t>Engl</t>
  </si>
  <si>
    <t>Busn 303</t>
  </si>
  <si>
    <t>Ast</t>
  </si>
  <si>
    <t>Busn 401</t>
  </si>
  <si>
    <t>Read</t>
  </si>
  <si>
    <t>Busn 107</t>
  </si>
  <si>
    <t>Q2</t>
  </si>
  <si>
    <t>Q3</t>
  </si>
  <si>
    <t>Q4</t>
  </si>
  <si>
    <t>Create a logical formula that tells you which rows in the below data set have text dates. Then create a second formula to tells you which rows have test sales values.</t>
  </si>
  <si>
    <t>You do not need to do anything with the Monthly Sales Report in the range H7:K10.</t>
  </si>
  <si>
    <t>If you would like to convert the text dates and sales values back to numbers, you can use an obscure trick to do it.</t>
  </si>
  <si>
    <t>This trick takes two clicks and will automatically re-import the values all as numbers:</t>
  </si>
  <si>
    <t>For Date column: 1) Select the range B12:B31, 2) Go to the Data Ribbon tab, Data Tools group and click the Text To Column button, 3) In the Text To Column dialog box, click the Finish button (Keyboard is Alt, A, E, F (hold Alt key down whole time)).</t>
  </si>
  <si>
    <t>For Sales Value column: 1) Select the range C12:C31, 2) Go to the Data Ribbon tab, Data Tools group and click the Text To Column button, 3) In the Text To Column dialog box, click the Finish button (Keyboard is Alt, A, E, F (hold Alt key down whole time)).</t>
  </si>
  <si>
    <t>Monthly Sales Report:</t>
  </si>
  <si>
    <t>Sales ($)</t>
  </si>
  <si>
    <t>Text Dates?</t>
  </si>
  <si>
    <t>Text Numbers?</t>
  </si>
  <si>
    <t>Month</t>
  </si>
  <si>
    <t>Start</t>
  </si>
  <si>
    <t>End</t>
  </si>
  <si>
    <t>Total Sales ($)</t>
  </si>
  <si>
    <t>Jan</t>
  </si>
  <si>
    <t>Feb</t>
  </si>
  <si>
    <t>Mar</t>
  </si>
  <si>
    <t>In the Get Credit? Column, create two formulas that will put the word "Credit" in the cell when the customer has a</t>
  </si>
  <si>
    <t>Create on Dynamic Spilled Array Formula and one that uses the AND function.</t>
  </si>
  <si>
    <t>Total Asset Value</t>
  </si>
  <si>
    <t>Credit Rating 1</t>
  </si>
  <si>
    <t>Late Payments</t>
  </si>
  <si>
    <t>Customer</t>
  </si>
  <si>
    <t>Get Credit?</t>
  </si>
  <si>
    <t>Fred Myer</t>
  </si>
  <si>
    <t>Safeway</t>
  </si>
  <si>
    <t>PCC</t>
  </si>
  <si>
    <t>QFC</t>
  </si>
  <si>
    <t>Walmart</t>
  </si>
  <si>
    <t>Sprouts</t>
  </si>
  <si>
    <t>Wholefoods</t>
  </si>
  <si>
    <t>Red Apple</t>
  </si>
  <si>
    <t>Munchies</t>
  </si>
  <si>
    <t>In the Get Credit? Columns, create two formulas that will put the word "Credit" in the cell when the customer has a</t>
  </si>
  <si>
    <t>Create on Dynamic Spilled Array Formula and one that uses the OR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</si>
</sst>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0.0%"/>
  </numFmts>
  <fonts count="1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name val="Arial"/>
      <family val="2"/>
    </font>
    <font>
      <b/>
      <sz val="10"/>
      <name val="Arial"/>
      <family val="2"/>
    </font>
    <font>
      <sz val="10"/>
      <color theme="0"/>
      <name val="Arial"/>
      <family val="2"/>
    </font>
    <font>
      <sz val="7"/>
      <color rgb="FF333333"/>
      <name val="Verdana"/>
      <family val="2"/>
    </font>
    <font>
      <sz val="12"/>
      <color theme="1"/>
      <name val="Calibri"/>
      <family val="2"/>
      <scheme val="minor"/>
    </font>
    <font>
      <sz val="13"/>
      <color theme="1"/>
      <name val="Calibri"/>
      <family val="2"/>
      <scheme val="minor"/>
    </font>
  </fonts>
  <fills count="7">
    <fill>
      <patternFill patternType="none"/>
    </fill>
    <fill>
      <patternFill patternType="gray125"/>
    </fill>
    <fill>
      <patternFill patternType="solid">
        <fgColor rgb="FF002060"/>
        <bgColor indexed="64"/>
      </patternFill>
    </fill>
    <fill>
      <patternFill patternType="solid">
        <fgColor rgb="FFCCFFCC"/>
        <bgColor indexed="64"/>
      </patternFill>
    </fill>
    <fill>
      <patternFill patternType="solid">
        <fgColor rgb="FFFF0000"/>
        <bgColor indexed="64"/>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5" fillId="0" borderId="0"/>
  </cellStyleXfs>
  <cellXfs count="46">
    <xf numFmtId="0" fontId="0" fillId="0" borderId="0" xfId="0"/>
    <xf numFmtId="0" fontId="5" fillId="0" borderId="0" xfId="3"/>
    <xf numFmtId="0" fontId="6" fillId="0" borderId="0" xfId="3" applyFont="1" applyAlignment="1">
      <alignment vertical="center"/>
    </xf>
    <xf numFmtId="0" fontId="5" fillId="0" borderId="1" xfId="3" applyBorder="1" applyAlignment="1">
      <alignment wrapText="1"/>
    </xf>
    <xf numFmtId="0" fontId="4" fillId="2" borderId="1" xfId="3" applyFont="1" applyFill="1" applyBorder="1" applyAlignment="1">
      <alignment wrapText="1"/>
    </xf>
    <xf numFmtId="0" fontId="7" fillId="2" borderId="1" xfId="3" applyFont="1" applyFill="1" applyBorder="1" applyAlignment="1">
      <alignment wrapText="1"/>
    </xf>
    <xf numFmtId="0" fontId="5" fillId="0" borderId="0" xfId="3" applyAlignment="1">
      <alignment wrapText="1"/>
    </xf>
    <xf numFmtId="0" fontId="5" fillId="0" borderId="1" xfId="3" applyBorder="1"/>
    <xf numFmtId="6" fontId="5" fillId="0" borderId="1" xfId="3" applyNumberFormat="1" applyBorder="1"/>
    <xf numFmtId="0" fontId="5" fillId="3" borderId="1" xfId="3" applyFill="1" applyBorder="1"/>
    <xf numFmtId="8" fontId="5" fillId="3" borderId="1" xfId="3" applyNumberFormat="1" applyFill="1" applyBorder="1"/>
    <xf numFmtId="0" fontId="7" fillId="4" borderId="1" xfId="3" applyFont="1" applyFill="1" applyBorder="1"/>
    <xf numFmtId="8" fontId="5" fillId="0" borderId="1" xfId="3" applyNumberFormat="1" applyBorder="1"/>
    <xf numFmtId="0" fontId="7" fillId="4" borderId="1" xfId="3" applyFont="1" applyFill="1" applyBorder="1" applyAlignment="1">
      <alignment wrapText="1"/>
    </xf>
    <xf numFmtId="0" fontId="8" fillId="0" borderId="0" xfId="3" applyFont="1"/>
    <xf numFmtId="0" fontId="6" fillId="0" borderId="0" xfId="3" applyFont="1" applyAlignment="1">
      <alignment horizontal="center" vertical="center"/>
    </xf>
    <xf numFmtId="0" fontId="3" fillId="0" borderId="0" xfId="0" applyFont="1"/>
    <xf numFmtId="0" fontId="4" fillId="2" borderId="1" xfId="0" applyFont="1" applyFill="1" applyBorder="1"/>
    <xf numFmtId="0" fontId="4" fillId="2" borderId="1" xfId="0" applyFont="1" applyFill="1" applyBorder="1" applyAlignment="1">
      <alignment wrapText="1"/>
    </xf>
    <xf numFmtId="14" fontId="0" fillId="0" borderId="1" xfId="0" applyNumberFormat="1" applyBorder="1"/>
    <xf numFmtId="0" fontId="0" fillId="0" borderId="1" xfId="0" applyBorder="1"/>
    <xf numFmtId="44" fontId="0" fillId="0" borderId="1" xfId="1" applyFont="1" applyBorder="1"/>
    <xf numFmtId="44" fontId="0" fillId="3" borderId="1" xfId="1" applyFont="1" applyFill="1" applyBorder="1"/>
    <xf numFmtId="0" fontId="9" fillId="0" borderId="0" xfId="0" applyFont="1"/>
    <xf numFmtId="10" fontId="0" fillId="0" borderId="0" xfId="0" applyNumberFormat="1"/>
    <xf numFmtId="0" fontId="2" fillId="4" borderId="1" xfId="0" applyFont="1" applyFill="1" applyBorder="1"/>
    <xf numFmtId="10" fontId="0" fillId="0" borderId="1" xfId="0" applyNumberFormat="1" applyBorder="1"/>
    <xf numFmtId="0" fontId="0" fillId="5" borderId="1" xfId="0" applyFill="1" applyBorder="1" applyAlignment="1">
      <alignment wrapText="1"/>
    </xf>
    <xf numFmtId="0" fontId="2" fillId="2" borderId="1" xfId="0" applyFont="1" applyFill="1" applyBorder="1" applyAlignment="1">
      <alignment horizontal="left"/>
    </xf>
    <xf numFmtId="0" fontId="2" fillId="2" borderId="1" xfId="0" applyFont="1" applyFill="1" applyBorder="1" applyAlignment="1">
      <alignment horizontal="left" wrapText="1"/>
    </xf>
    <xf numFmtId="164" fontId="0" fillId="6" borderId="1" xfId="2" applyNumberFormat="1" applyFont="1" applyFill="1" applyBorder="1"/>
    <xf numFmtId="0" fontId="0" fillId="3" borderId="1" xfId="0" applyFill="1" applyBorder="1"/>
    <xf numFmtId="0" fontId="10" fillId="0" borderId="0" xfId="0" applyFont="1"/>
    <xf numFmtId="0" fontId="0" fillId="5" borderId="1" xfId="0" applyFill="1" applyBorder="1"/>
    <xf numFmtId="0" fontId="3" fillId="0" borderId="1" xfId="0" applyFont="1" applyBorder="1"/>
    <xf numFmtId="10" fontId="0" fillId="6" borderId="1" xfId="2" applyNumberFormat="1" applyFont="1" applyFill="1" applyBorder="1"/>
    <xf numFmtId="0" fontId="0" fillId="0" borderId="0" xfId="0" applyAlignment="1">
      <alignment horizontal="left" indent="1"/>
    </xf>
    <xf numFmtId="0" fontId="2" fillId="2" borderId="1" xfId="0" applyFont="1" applyFill="1" applyBorder="1"/>
    <xf numFmtId="14" fontId="0" fillId="0" borderId="1" xfId="0" quotePrefix="1" applyNumberFormat="1" applyBorder="1" applyAlignment="1">
      <alignment horizontal="right"/>
    </xf>
    <xf numFmtId="0" fontId="0" fillId="0" borderId="1" xfId="0" quotePrefix="1" applyBorder="1" applyAlignment="1">
      <alignment horizontal="right"/>
    </xf>
    <xf numFmtId="4" fontId="0" fillId="3" borderId="1" xfId="0" applyNumberFormat="1" applyFill="1" applyBorder="1"/>
    <xf numFmtId="14" fontId="0" fillId="0" borderId="1" xfId="0" applyNumberFormat="1" applyBorder="1" applyAlignment="1">
      <alignment horizontal="right"/>
    </xf>
    <xf numFmtId="0" fontId="0" fillId="0" borderId="1" xfId="0" applyBorder="1" applyAlignment="1">
      <alignment horizontal="right"/>
    </xf>
    <xf numFmtId="3" fontId="0" fillId="0" borderId="1" xfId="0" applyNumberFormat="1" applyBorder="1"/>
    <xf numFmtId="0" fontId="10" fillId="0" borderId="0" xfId="0" applyFont="1" applyAlignment="1">
      <alignment horizontal="left" wrapText="1"/>
    </xf>
    <xf numFmtId="0" fontId="10" fillId="0" borderId="0" xfId="0" applyFont="1" applyAlignment="1">
      <alignment horizontal="left" wrapText="1" indent="4"/>
    </xf>
  </cellXfs>
  <cellStyles count="4">
    <cellStyle name="Currency" xfId="1" builtinId="4"/>
    <cellStyle name="Normal" xfId="0" builtinId="0"/>
    <cellStyle name="Normal 2" xfId="3" xr:uid="{488C7C35-AF11-4704-8323-27E09420D44D}"/>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00VideoClassStorage\00000AllExcelBook\TheOnlyAppMatterBook-20210618\Ch12-Excel365-WorksheetFormula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girvin/Desktop/00ExcelBasics/Files/EB05-3/Ch13-Excel365-LogicalFormulas.xlsx" TargetMode="External"/><Relationship Id="rId2" Type="http://schemas.openxmlformats.org/officeDocument/2006/relationships/externalLinkPath" Target="file:///C:\Users\mgirvin\Desktop\00ExcelBasics\Files\EB05-3\Ch13-Excel365-LogicalFormulas.xlsx" TargetMode="External"/><Relationship Id="rId1" Type="http://schemas.openxmlformats.org/officeDocument/2006/relationships/externalLinkPath" Target="/Users/mgirvin/Desktop/00ExcelBasics/Files/EB05-3/Ch13-Excel365-LogicalFormul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ypes"/>
      <sheetName val="Elements"/>
      <sheetName val="Ch12(1-2)"/>
      <sheetName val="Ch12(3)"/>
      <sheetName val="Ch12(4)"/>
      <sheetName val="Ch12(4an)"/>
      <sheetName val="Ch12(5)"/>
      <sheetName val="Ch12(5an)"/>
      <sheetName val="Ch12(6)"/>
      <sheetName val="Ch12(6an)"/>
      <sheetName val="Ch12(7-8)"/>
      <sheetName val="Ch12(7-8an)"/>
      <sheetName val="Ch12(9)"/>
      <sheetName val="Ch12(9an)"/>
      <sheetName val="Ch12(10)"/>
      <sheetName val="Ch12(10an)"/>
      <sheetName val="Ch12(11-12)"/>
      <sheetName val="Ch12(11-12an)"/>
      <sheetName val="Ch12(13-15)"/>
      <sheetName val="Ch12(13-15an)"/>
      <sheetName val="Ch12(14)"/>
      <sheetName val="Ch12(16-19)"/>
      <sheetName val="Ch12(16-19an)"/>
      <sheetName val="Ch12(20)"/>
      <sheetName val="Ch12(20an)"/>
      <sheetName val="Ch12(21-22)"/>
      <sheetName val="Ch12(21-22an)"/>
      <sheetName val="Ch12(23-24)"/>
      <sheetName val="Ch12(23-24an)"/>
      <sheetName val="Ch12(25-27)"/>
      <sheetName val="Ch12(25-27an)"/>
      <sheetName val="Ch12(28)"/>
      <sheetName val="Ch12(28an)"/>
      <sheetName val="Ch12(29-30)"/>
      <sheetName val="Ch12(29-30an)"/>
      <sheetName val="Ch12(31-34)"/>
      <sheetName val="Ch12(31-34an)"/>
      <sheetName val="Ch12(35-37)"/>
      <sheetName val="Ch12(35-37an)"/>
      <sheetName val="Ch12(38-39)"/>
      <sheetName val="Ch12(38-39an)"/>
      <sheetName val="LookupTable"/>
      <sheetName val="Ch12(40-41)"/>
      <sheetName val="Ch12(40-41an)"/>
      <sheetName val="Ch12(42)"/>
      <sheetName val="Ch12(42an)"/>
      <sheetName val="Ch12(43)"/>
      <sheetName val="Ch12(43an)"/>
      <sheetName val="Ch12(44)"/>
      <sheetName val="Ch12(44an)"/>
      <sheetName val="Ch12(45)"/>
      <sheetName val="Ch12(46)"/>
      <sheetName val="Ch12(46an)"/>
      <sheetName val="Jan"/>
      <sheetName val="Feb"/>
      <sheetName val="Mar"/>
      <sheetName val="Apr"/>
      <sheetName val="Ch12(47)"/>
      <sheetName val="Practice Problems ==&gt;"/>
      <sheetName val="PPCh12 (1)"/>
      <sheetName val="PPCh12 (1an)"/>
      <sheetName val="PPCh12 (2)"/>
      <sheetName val="PPCh12 (2an)"/>
      <sheetName val="PPCh12 (3)"/>
      <sheetName val="PPCh12 (3an)"/>
      <sheetName val="PPCh12 (4)"/>
      <sheetName val="PPCh12 (4an)"/>
      <sheetName val="PPCh12 (5)"/>
      <sheetName val="PPCh12 (5an)"/>
      <sheetName val="PPCh12 (6)"/>
      <sheetName val="PPCh12 (6an)"/>
      <sheetName val="PPCh12 (7)"/>
      <sheetName val="PPCh12 (7an)"/>
      <sheetName val="PPCh12 (8)"/>
      <sheetName val="PPCh12 (8an)"/>
      <sheetName val="PPCh12 (9)"/>
      <sheetName val="PPCh12 (9an)"/>
      <sheetName val="PPCh12 (10)"/>
      <sheetName val="PPCh12 (10an)"/>
      <sheetName val="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9">
          <cell r="G9" t="str">
            <v>Floyd</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h13(1)"/>
      <sheetName val="Ch13(1an)"/>
      <sheetName val="Ch13(2)"/>
      <sheetName val="Ch13(2an)"/>
      <sheetName val="Ch13(3)"/>
      <sheetName val="Ch13(3an)"/>
      <sheetName val="Ch13(4)"/>
      <sheetName val="Ch13(4an)"/>
      <sheetName val="Ch13(5)"/>
      <sheetName val="Ch13(5an)"/>
      <sheetName val="Ch13(6)"/>
      <sheetName val="Ch13(6an)"/>
      <sheetName val="Ch13(7)"/>
      <sheetName val="Ch13(7an)"/>
      <sheetName val="Ch13(8)"/>
      <sheetName val="Ch13(8an)"/>
      <sheetName val="Ch13(9)"/>
      <sheetName val="Ch13(9an)"/>
      <sheetName val="Ch13(10)"/>
      <sheetName val="Ch13(10an)"/>
      <sheetName val="Ch13(11)"/>
      <sheetName val="Ch13(11an)"/>
      <sheetName val="Ch13(12)"/>
      <sheetName val="Ch13(12an)"/>
      <sheetName val="Ch13(13-14)"/>
      <sheetName val="Ch13(13-14an)"/>
      <sheetName val="Ch13(15)"/>
      <sheetName val="Ch13(15an)"/>
      <sheetName val="Ch13(16)"/>
      <sheetName val="Ch13(16an)"/>
      <sheetName val="Ch13(17)"/>
      <sheetName val="Ch13(17an)"/>
      <sheetName val="Ch13(18)"/>
      <sheetName val="Ch13(18an)"/>
      <sheetName val="Ch13(19)"/>
      <sheetName val="Ch13(19an)"/>
      <sheetName val="Ch13(20)"/>
      <sheetName val="Ch13(20an)"/>
      <sheetName val="Ch13(21)"/>
      <sheetName val="Ch13(21an)"/>
      <sheetName val="Ch13(22)"/>
      <sheetName val="Ch13(22an)"/>
      <sheetName val="Ch13(23)"/>
      <sheetName val="Ch13(23an)"/>
      <sheetName val="Ch13(24)"/>
      <sheetName val="Ch13(24an)"/>
      <sheetName val="Ch13(25)"/>
      <sheetName val="Ch13(25an)"/>
      <sheetName val="Ch13(26)"/>
      <sheetName val="Ch13(26an)"/>
      <sheetName val="Ch13(27)"/>
      <sheetName val="Ch13(27an)"/>
      <sheetName val="Ch13(28)"/>
      <sheetName val="Ch13(28an)"/>
      <sheetName val="Ch13(29)"/>
      <sheetName val="Ch13(29an)"/>
      <sheetName val="Ch13(30)"/>
      <sheetName val="Ch13(31)"/>
      <sheetName val="Ch13(31an)"/>
      <sheetName val="Ch13(32)"/>
      <sheetName val="Ch13(32an)"/>
      <sheetName val="Ch13(33)"/>
      <sheetName val="Ch13(34)"/>
      <sheetName val="Ch13(34an)"/>
      <sheetName val="Ch13(35)"/>
      <sheetName val="Ch13(35an)"/>
      <sheetName val="Ch13(36)"/>
      <sheetName val="Ch13(36an)"/>
      <sheetName val="Ch13(37)"/>
      <sheetName val="Ch13(37an)"/>
      <sheetName val="Ch13(38)"/>
      <sheetName val="Ch13(38an)"/>
      <sheetName val="Ch13(39)"/>
      <sheetName val="Ch13(39an)"/>
      <sheetName val="Ch13(40-41)"/>
      <sheetName val="Ch13(40-41an)"/>
      <sheetName val="Practice Problems ==&gt;"/>
      <sheetName val="PPCh13(1)"/>
      <sheetName val="PPCh13(1an)"/>
      <sheetName val="PPCh13(2)"/>
      <sheetName val="PPCh13(2an)"/>
      <sheetName val="PPCh13(3)"/>
      <sheetName val="PPCh13(3an)"/>
      <sheetName val="PPCh13(4)"/>
      <sheetName val="PPCh13(4an)"/>
      <sheetName val="PPCh13(5)"/>
      <sheetName val="PPCh13(5an)"/>
      <sheetName val="PPCh13(6)"/>
      <sheetName val="PPCh13(6an)"/>
      <sheetName val="PPCh13(7)"/>
      <sheetName val="PPCh13(7an)"/>
      <sheetName val="PPCh13(8)"/>
      <sheetName val="PPCh13(8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8">
          <cell r="C8">
            <v>1533.89</v>
          </cell>
        </row>
        <row r="9">
          <cell r="C9">
            <v>690.16</v>
          </cell>
        </row>
        <row r="10">
          <cell r="C10">
            <v>1029.52</v>
          </cell>
        </row>
        <row r="11">
          <cell r="C11">
            <v>642.89</v>
          </cell>
        </row>
        <row r="12">
          <cell r="C12">
            <v>883.31</v>
          </cell>
        </row>
        <row r="13">
          <cell r="C13">
            <v>528.14</v>
          </cell>
        </row>
        <row r="14">
          <cell r="C14">
            <v>771.07</v>
          </cell>
        </row>
        <row r="15">
          <cell r="C15">
            <v>1033.92</v>
          </cell>
        </row>
        <row r="16">
          <cell r="C16">
            <v>290.43</v>
          </cell>
        </row>
        <row r="17">
          <cell r="C17">
            <v>1756.26</v>
          </cell>
        </row>
        <row r="18">
          <cell r="C18">
            <v>697.59</v>
          </cell>
        </row>
        <row r="19">
          <cell r="C19">
            <v>674.16</v>
          </cell>
        </row>
        <row r="20">
          <cell r="C20">
            <v>449.45</v>
          </cell>
        </row>
        <row r="21">
          <cell r="C21">
            <v>1065.58</v>
          </cell>
        </row>
        <row r="22">
          <cell r="C22">
            <v>1461.6</v>
          </cell>
        </row>
        <row r="23">
          <cell r="C23">
            <v>1059.1099999999999</v>
          </cell>
        </row>
        <row r="24">
          <cell r="C24">
            <v>414.42</v>
          </cell>
        </row>
        <row r="25">
          <cell r="C25">
            <v>291.36</v>
          </cell>
        </row>
        <row r="26">
          <cell r="C26">
            <v>529.20000000000005</v>
          </cell>
        </row>
        <row r="27">
          <cell r="C27">
            <v>376.29</v>
          </cell>
        </row>
      </sheetData>
      <sheetData sheetId="65">
        <row r="8">
          <cell r="B8">
            <v>44300</v>
          </cell>
          <cell r="C8">
            <v>1533.89</v>
          </cell>
        </row>
        <row r="9">
          <cell r="B9">
            <v>44267</v>
          </cell>
          <cell r="C9">
            <v>690.16</v>
          </cell>
        </row>
        <row r="10">
          <cell r="B10">
            <v>44249</v>
          </cell>
          <cell r="C10">
            <v>1029.52</v>
          </cell>
        </row>
        <row r="11">
          <cell r="B11">
            <v>44260</v>
          </cell>
          <cell r="C11">
            <v>642.89</v>
          </cell>
        </row>
        <row r="12">
          <cell r="B12">
            <v>44290</v>
          </cell>
          <cell r="C12">
            <v>883.31</v>
          </cell>
        </row>
        <row r="13">
          <cell r="B13">
            <v>44243</v>
          </cell>
          <cell r="C13">
            <v>528.14</v>
          </cell>
        </row>
        <row r="14">
          <cell r="B14">
            <v>44239</v>
          </cell>
          <cell r="C14">
            <v>771.07</v>
          </cell>
        </row>
        <row r="15">
          <cell r="B15">
            <v>44226</v>
          </cell>
          <cell r="C15">
            <v>1033.92</v>
          </cell>
        </row>
        <row r="16">
          <cell r="B16">
            <v>44214</v>
          </cell>
          <cell r="C16">
            <v>290.43</v>
          </cell>
        </row>
        <row r="17">
          <cell r="B17">
            <v>44279</v>
          </cell>
          <cell r="C17">
            <v>1756.26</v>
          </cell>
        </row>
        <row r="18">
          <cell r="B18">
            <v>44224</v>
          </cell>
          <cell r="C18">
            <v>697.59</v>
          </cell>
        </row>
        <row r="19">
          <cell r="B19">
            <v>44283</v>
          </cell>
          <cell r="C19">
            <v>674.16</v>
          </cell>
        </row>
        <row r="20">
          <cell r="B20">
            <v>44307</v>
          </cell>
          <cell r="C20">
            <v>449.45</v>
          </cell>
        </row>
        <row r="21">
          <cell r="B21">
            <v>44221</v>
          </cell>
          <cell r="C21">
            <v>1065.58</v>
          </cell>
        </row>
        <row r="22">
          <cell r="B22">
            <v>44204</v>
          </cell>
          <cell r="C22">
            <v>1461.6</v>
          </cell>
        </row>
        <row r="23">
          <cell r="B23">
            <v>44211</v>
          </cell>
          <cell r="C23">
            <v>1059.1099999999999</v>
          </cell>
        </row>
        <row r="24">
          <cell r="B24">
            <v>44308</v>
          </cell>
          <cell r="C24">
            <v>414.42</v>
          </cell>
        </row>
        <row r="25">
          <cell r="B25">
            <v>44308</v>
          </cell>
          <cell r="C25">
            <v>291.36</v>
          </cell>
        </row>
        <row r="26">
          <cell r="B26">
            <v>44232</v>
          </cell>
          <cell r="C26">
            <v>529.20000000000005</v>
          </cell>
        </row>
        <row r="27">
          <cell r="B27">
            <v>44247</v>
          </cell>
          <cell r="C27">
            <v>376.29</v>
          </cell>
        </row>
      </sheetData>
      <sheetData sheetId="66" refreshError="1"/>
      <sheetData sheetId="67" refreshError="1"/>
      <sheetData sheetId="68" refreshError="1"/>
      <sheetData sheetId="69" refreshError="1"/>
      <sheetData sheetId="70">
        <row r="7">
          <cell r="B7" t="str">
            <v>USA</v>
          </cell>
          <cell r="C7" t="str">
            <v>Sioux</v>
          </cell>
        </row>
        <row r="8">
          <cell r="B8" t="str">
            <v>Mexico</v>
          </cell>
          <cell r="C8" t="str">
            <v>Gigi</v>
          </cell>
        </row>
        <row r="9">
          <cell r="B9" t="str">
            <v>Canada</v>
          </cell>
          <cell r="C9" t="str">
            <v>Tyrone</v>
          </cell>
        </row>
        <row r="10">
          <cell r="B10" t="str">
            <v>Canada</v>
          </cell>
          <cell r="C10" t="str">
            <v>Abdi</v>
          </cell>
        </row>
        <row r="11">
          <cell r="B11" t="str">
            <v>USA</v>
          </cell>
          <cell r="C11" t="str">
            <v>Chantel</v>
          </cell>
        </row>
        <row r="12">
          <cell r="B12" t="str">
            <v>Canada</v>
          </cell>
          <cell r="C12" t="str">
            <v>Sioux</v>
          </cell>
        </row>
        <row r="13">
          <cell r="B13" t="str">
            <v>USA</v>
          </cell>
          <cell r="C13" t="str">
            <v>Chantel</v>
          </cell>
        </row>
        <row r="14">
          <cell r="B14" t="str">
            <v>USA</v>
          </cell>
          <cell r="C14" t="str">
            <v>Miki</v>
          </cell>
        </row>
        <row r="15">
          <cell r="B15" t="str">
            <v>Mexico</v>
          </cell>
          <cell r="C15" t="str">
            <v>Abdi</v>
          </cell>
        </row>
        <row r="16">
          <cell r="B16" t="str">
            <v>Mexico</v>
          </cell>
          <cell r="C16" t="str">
            <v>Gigi</v>
          </cell>
        </row>
        <row r="17">
          <cell r="B17" t="str">
            <v>Canada</v>
          </cell>
          <cell r="C17" t="str">
            <v>Tyrone</v>
          </cell>
        </row>
        <row r="18">
          <cell r="B18" t="str">
            <v>USA</v>
          </cell>
          <cell r="C18" t="str">
            <v>Sioux</v>
          </cell>
        </row>
        <row r="19">
          <cell r="B19" t="str">
            <v>Canada</v>
          </cell>
          <cell r="C19" t="str">
            <v>Tyrone</v>
          </cell>
        </row>
        <row r="20">
          <cell r="B20" t="str">
            <v>Mexico</v>
          </cell>
          <cell r="C20" t="str">
            <v>Sioux</v>
          </cell>
        </row>
        <row r="21">
          <cell r="B21" t="str">
            <v>USA</v>
          </cell>
          <cell r="C21" t="str">
            <v>Chantel</v>
          </cell>
        </row>
        <row r="22">
          <cell r="B22" t="str">
            <v>USA</v>
          </cell>
          <cell r="C22" t="str">
            <v>Gigi</v>
          </cell>
        </row>
        <row r="23">
          <cell r="B23" t="str">
            <v>USA</v>
          </cell>
          <cell r="C23" t="str">
            <v>Tyrone</v>
          </cell>
        </row>
        <row r="24">
          <cell r="B24" t="str">
            <v>USA</v>
          </cell>
          <cell r="C24" t="str">
            <v>Miki</v>
          </cell>
        </row>
        <row r="25">
          <cell r="B25" t="str">
            <v>USA</v>
          </cell>
          <cell r="C25" t="str">
            <v>Chantel</v>
          </cell>
        </row>
        <row r="26">
          <cell r="B26" t="str">
            <v>Mexico</v>
          </cell>
          <cell r="C26" t="str">
            <v>Abdi</v>
          </cell>
        </row>
      </sheetData>
      <sheetData sheetId="71">
        <row r="7">
          <cell r="B7" t="str">
            <v>USA</v>
          </cell>
          <cell r="C7" t="str">
            <v>Sioux</v>
          </cell>
          <cell r="D7">
            <v>1533.89</v>
          </cell>
        </row>
        <row r="8">
          <cell r="B8" t="str">
            <v>Mexico</v>
          </cell>
          <cell r="C8" t="str">
            <v>Gigi</v>
          </cell>
          <cell r="D8">
            <v>690.16</v>
          </cell>
        </row>
        <row r="9">
          <cell r="B9" t="str">
            <v>Canada</v>
          </cell>
          <cell r="C9" t="str">
            <v>Tyrone</v>
          </cell>
          <cell r="D9">
            <v>1029.52</v>
          </cell>
        </row>
        <row r="10">
          <cell r="B10" t="str">
            <v>Canada</v>
          </cell>
          <cell r="C10" t="str">
            <v>Abdi</v>
          </cell>
          <cell r="D10">
            <v>642.89</v>
          </cell>
        </row>
        <row r="11">
          <cell r="B11" t="str">
            <v>USA</v>
          </cell>
          <cell r="C11" t="str">
            <v>Chantel</v>
          </cell>
          <cell r="D11">
            <v>883.31</v>
          </cell>
        </row>
        <row r="12">
          <cell r="B12" t="str">
            <v>Canada</v>
          </cell>
          <cell r="C12" t="str">
            <v>Sioux</v>
          </cell>
          <cell r="D12">
            <v>528.14</v>
          </cell>
        </row>
        <row r="13">
          <cell r="B13" t="str">
            <v>USA</v>
          </cell>
          <cell r="C13" t="str">
            <v>Chantel</v>
          </cell>
          <cell r="D13">
            <v>771.07</v>
          </cell>
        </row>
        <row r="14">
          <cell r="B14" t="str">
            <v>USA</v>
          </cell>
          <cell r="C14" t="str">
            <v>Miki</v>
          </cell>
          <cell r="D14">
            <v>1033.92</v>
          </cell>
        </row>
        <row r="15">
          <cell r="B15" t="str">
            <v>Mexico</v>
          </cell>
          <cell r="C15" t="str">
            <v>Abdi</v>
          </cell>
          <cell r="D15">
            <v>290.43</v>
          </cell>
        </row>
        <row r="16">
          <cell r="B16" t="str">
            <v>Mexico</v>
          </cell>
          <cell r="C16" t="str">
            <v>Gigi</v>
          </cell>
          <cell r="D16">
            <v>1756.26</v>
          </cell>
        </row>
        <row r="17">
          <cell r="B17" t="str">
            <v>Canada</v>
          </cell>
          <cell r="C17" t="str">
            <v>Tyrone</v>
          </cell>
          <cell r="D17">
            <v>697.59</v>
          </cell>
        </row>
        <row r="18">
          <cell r="B18" t="str">
            <v>USA</v>
          </cell>
          <cell r="C18" t="str">
            <v>Sioux</v>
          </cell>
          <cell r="D18">
            <v>674.16</v>
          </cell>
        </row>
        <row r="19">
          <cell r="B19" t="str">
            <v>Canada</v>
          </cell>
          <cell r="C19" t="str">
            <v>Tyrone</v>
          </cell>
          <cell r="D19">
            <v>449.45</v>
          </cell>
        </row>
        <row r="20">
          <cell r="B20" t="str">
            <v>Mexico</v>
          </cell>
          <cell r="C20" t="str">
            <v>Sioux</v>
          </cell>
          <cell r="D20">
            <v>1065.58</v>
          </cell>
        </row>
        <row r="21">
          <cell r="B21" t="str">
            <v>USA</v>
          </cell>
          <cell r="C21" t="str">
            <v>Chantel</v>
          </cell>
          <cell r="D21">
            <v>1461.6</v>
          </cell>
        </row>
        <row r="22">
          <cell r="B22" t="str">
            <v>USA</v>
          </cell>
          <cell r="C22" t="str">
            <v>Gigi</v>
          </cell>
          <cell r="D22">
            <v>1059.1099999999999</v>
          </cell>
        </row>
        <row r="23">
          <cell r="B23" t="str">
            <v>USA</v>
          </cell>
          <cell r="C23" t="str">
            <v>Tyrone</v>
          </cell>
          <cell r="D23">
            <v>414.42</v>
          </cell>
        </row>
        <row r="24">
          <cell r="B24" t="str">
            <v>USA</v>
          </cell>
          <cell r="C24" t="str">
            <v>Miki</v>
          </cell>
          <cell r="D24">
            <v>1291.3599999999999</v>
          </cell>
        </row>
        <row r="25">
          <cell r="B25" t="str">
            <v>USA</v>
          </cell>
          <cell r="C25" t="str">
            <v>Chantel</v>
          </cell>
          <cell r="D25">
            <v>529.20000000000005</v>
          </cell>
        </row>
        <row r="26">
          <cell r="B26" t="str">
            <v>Mexico</v>
          </cell>
          <cell r="C26" t="str">
            <v>Abdi</v>
          </cell>
          <cell r="D26">
            <v>376.29</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23F6-C700-4DD5-A301-37E1C12DB396}">
  <sheetPr>
    <tabColor rgb="FF0000FF"/>
  </sheetPr>
  <dimension ref="B2:J25"/>
  <sheetViews>
    <sheetView topLeftCell="A2" zoomScale="175" zoomScaleNormal="175" workbookViewId="0">
      <selection activeCell="G5" sqref="G5:G24"/>
    </sheetView>
  </sheetViews>
  <sheetFormatPr defaultColWidth="8.85546875" defaultRowHeight="12.75" x14ac:dyDescent="0.2"/>
  <cols>
    <col min="1" max="1" width="3.140625" style="1" customWidth="1"/>
    <col min="2" max="2" width="19.7109375" style="1" bestFit="1" customWidth="1"/>
    <col min="3" max="3" width="15.140625" style="1" customWidth="1"/>
    <col min="4" max="4" width="8.28515625" style="1" bestFit="1" customWidth="1"/>
    <col min="5" max="5" width="24.42578125" style="1" customWidth="1"/>
    <col min="6" max="6" width="21.42578125" style="1" customWidth="1"/>
    <col min="7" max="7" width="20.140625" style="1" customWidth="1"/>
    <col min="8" max="8" width="2.42578125" style="1" customWidth="1"/>
    <col min="9" max="9" width="24.7109375" style="1" customWidth="1"/>
    <col min="10" max="10" width="11.85546875" style="1" customWidth="1"/>
    <col min="11" max="16384" width="8.85546875" style="1"/>
  </cols>
  <sheetData>
    <row r="2" spans="2:10" ht="111.75" customHeight="1" x14ac:dyDescent="0.2">
      <c r="D2" s="2" t="s">
        <v>0</v>
      </c>
      <c r="E2" s="3" t="str">
        <f>"1) Using a formula for this column, put the word Yes or No in each cell to state whether or not the employee got the bonus. "&amp;I4</f>
        <v>1) Using a formula for this column, put the word Yes or No in each cell to state whether or not the employee got the bonus. Contact reads: If employee has sales of $10,000 or more they get a bonus.</v>
      </c>
      <c r="F2" s="3" t="str">
        <f>"2) Using a formula for this column, put the bonus amount that each employee earned in each cell. "&amp;I4</f>
        <v>2) Using a formula for this column, put the bonus amount that each employee earned in each cell. Contact reads: If employee has sales of $10,000 or more they get a bonus.</v>
      </c>
      <c r="G2" s="3" t="str">
        <f>"3) Using a formula for this column, Put the text 'Under' in the cell if their Cell Phone Data usage is less than "&amp;J12&amp;" or the text 'Extra Charge' if the usage is 2.5 or more."</f>
        <v>3) Using a formula for this column, Put the text 'Under' in the cell if their Cell Phone Data usage is less than 2.5 or the text 'Extra Charge' if the usage is 2.5 or more.</v>
      </c>
    </row>
    <row r="4" spans="2:10" ht="30" x14ac:dyDescent="0.25">
      <c r="B4" s="4" t="s">
        <v>1</v>
      </c>
      <c r="C4" s="4" t="s">
        <v>2</v>
      </c>
      <c r="D4" s="4" t="s">
        <v>3</v>
      </c>
      <c r="E4" s="5" t="s">
        <v>4</v>
      </c>
      <c r="F4" s="5" t="s">
        <v>5</v>
      </c>
      <c r="G4" s="5" t="s">
        <v>6</v>
      </c>
      <c r="H4" s="6"/>
      <c r="I4" s="1" t="str">
        <f>"Contact reads: If employee has sales of "&amp;DOLLAR(J6,0)&amp;" or more they get a bonus."</f>
        <v>Contact reads: If employee has sales of $10,000 or more they get a bonus.</v>
      </c>
    </row>
    <row r="5" spans="2:10" x14ac:dyDescent="0.2">
      <c r="B5" s="7" t="s">
        <v>7</v>
      </c>
      <c r="C5" s="7">
        <v>2.1800000000000002</v>
      </c>
      <c r="D5" s="8">
        <v>9181</v>
      </c>
      <c r="E5" s="9" t="str">
        <f>IF(D5&gt;=$J$6,"Yes","No")</f>
        <v>No</v>
      </c>
      <c r="F5" s="10">
        <f>IF(D5&gt;=$J$6,$J$7,0)</f>
        <v>0</v>
      </c>
      <c r="G5" s="10" t="str">
        <f>IF(C5&lt;$J$12,"Under","Extra Charge")</f>
        <v>Under</v>
      </c>
      <c r="I5" s="1" t="str">
        <f>"Are Sales equal to or greater than "&amp;DOLLAR(J6,0)&amp;"?"</f>
        <v>Are Sales equal to or greater than $10,000?</v>
      </c>
    </row>
    <row r="6" spans="2:10" x14ac:dyDescent="0.2">
      <c r="B6" s="7" t="s">
        <v>8</v>
      </c>
      <c r="C6" s="7">
        <v>2.0499999999999998</v>
      </c>
      <c r="D6" s="8">
        <v>7827</v>
      </c>
      <c r="E6" s="9" t="str">
        <f t="shared" ref="E6:E24" si="0">IF(D6&gt;=$J$6,"Yes","No")</f>
        <v>No</v>
      </c>
      <c r="F6" s="10">
        <f t="shared" ref="F6:F24" si="1">IF(D6&gt;=$J$6,$J$7,0)</f>
        <v>0</v>
      </c>
      <c r="G6" s="10" t="str">
        <f t="shared" ref="G6:G24" si="2">IF(C6&lt;$J$12,"Under","Extra Charge")</f>
        <v>Under</v>
      </c>
      <c r="I6" s="11" t="s">
        <v>9</v>
      </c>
      <c r="J6" s="12">
        <v>10000</v>
      </c>
    </row>
    <row r="7" spans="2:10" x14ac:dyDescent="0.2">
      <c r="B7" s="7" t="s">
        <v>10</v>
      </c>
      <c r="C7" s="7">
        <v>0.19</v>
      </c>
      <c r="D7" s="8">
        <v>6477</v>
      </c>
      <c r="E7" s="9" t="str">
        <f t="shared" si="0"/>
        <v>No</v>
      </c>
      <c r="F7" s="10">
        <f t="shared" si="1"/>
        <v>0</v>
      </c>
      <c r="G7" s="10" t="str">
        <f t="shared" si="2"/>
        <v>Under</v>
      </c>
      <c r="I7" s="13" t="s">
        <v>11</v>
      </c>
      <c r="J7" s="12">
        <v>750</v>
      </c>
    </row>
    <row r="8" spans="2:10" x14ac:dyDescent="0.2">
      <c r="B8" s="7" t="s">
        <v>12</v>
      </c>
      <c r="C8" s="7">
        <v>1.76</v>
      </c>
      <c r="D8" s="8">
        <v>9358</v>
      </c>
      <c r="E8" s="9" t="str">
        <f t="shared" si="0"/>
        <v>No</v>
      </c>
      <c r="F8" s="10">
        <f t="shared" si="1"/>
        <v>0</v>
      </c>
      <c r="G8" s="10" t="str">
        <f t="shared" si="2"/>
        <v>Under</v>
      </c>
    </row>
    <row r="9" spans="2:10" x14ac:dyDescent="0.2">
      <c r="B9" s="7" t="s">
        <v>13</v>
      </c>
      <c r="C9" s="7">
        <v>0.59</v>
      </c>
      <c r="D9" s="8">
        <v>14915</v>
      </c>
      <c r="E9" s="9" t="str">
        <f t="shared" si="0"/>
        <v>Yes</v>
      </c>
      <c r="F9" s="10">
        <f t="shared" si="1"/>
        <v>750</v>
      </c>
      <c r="G9" s="10" t="str">
        <f t="shared" si="2"/>
        <v>Under</v>
      </c>
    </row>
    <row r="10" spans="2:10" x14ac:dyDescent="0.2">
      <c r="B10" s="7" t="s">
        <v>14</v>
      </c>
      <c r="C10" s="7">
        <v>2.82</v>
      </c>
      <c r="D10" s="8">
        <v>8670</v>
      </c>
      <c r="E10" s="9" t="str">
        <f t="shared" si="0"/>
        <v>No</v>
      </c>
      <c r="F10" s="10">
        <f t="shared" si="1"/>
        <v>0</v>
      </c>
      <c r="G10" s="10" t="str">
        <f t="shared" si="2"/>
        <v>Extra Charge</v>
      </c>
    </row>
    <row r="11" spans="2:10" x14ac:dyDescent="0.2">
      <c r="B11" s="7" t="s">
        <v>15</v>
      </c>
      <c r="C11" s="7">
        <v>1.56</v>
      </c>
      <c r="D11" s="8">
        <v>12413</v>
      </c>
      <c r="E11" s="9" t="str">
        <f t="shared" si="0"/>
        <v>Yes</v>
      </c>
      <c r="F11" s="10">
        <f t="shared" si="1"/>
        <v>750</v>
      </c>
      <c r="G11" s="10" t="str">
        <f t="shared" si="2"/>
        <v>Under</v>
      </c>
      <c r="I11" s="1" t="s">
        <v>16</v>
      </c>
    </row>
    <row r="12" spans="2:10" x14ac:dyDescent="0.2">
      <c r="B12" s="7" t="s">
        <v>17</v>
      </c>
      <c r="C12" s="7">
        <v>2.21</v>
      </c>
      <c r="D12" s="8">
        <v>6291</v>
      </c>
      <c r="E12" s="9" t="str">
        <f t="shared" si="0"/>
        <v>No</v>
      </c>
      <c r="F12" s="10">
        <f t="shared" si="1"/>
        <v>0</v>
      </c>
      <c r="G12" s="10" t="str">
        <f t="shared" si="2"/>
        <v>Under</v>
      </c>
      <c r="I12" s="13" t="s">
        <v>18</v>
      </c>
      <c r="J12" s="7">
        <v>2.5</v>
      </c>
    </row>
    <row r="13" spans="2:10" x14ac:dyDescent="0.2">
      <c r="B13" s="7" t="s">
        <v>19</v>
      </c>
      <c r="C13" s="7">
        <v>1.97</v>
      </c>
      <c r="D13" s="8">
        <v>6083</v>
      </c>
      <c r="E13" s="9" t="str">
        <f t="shared" si="0"/>
        <v>No</v>
      </c>
      <c r="F13" s="10">
        <f t="shared" si="1"/>
        <v>0</v>
      </c>
      <c r="G13" s="10" t="str">
        <f t="shared" si="2"/>
        <v>Under</v>
      </c>
    </row>
    <row r="14" spans="2:10" x14ac:dyDescent="0.2">
      <c r="B14" s="7" t="s">
        <v>20</v>
      </c>
      <c r="C14" s="7">
        <v>2.99</v>
      </c>
      <c r="D14" s="8">
        <v>12633</v>
      </c>
      <c r="E14" s="9" t="str">
        <f t="shared" si="0"/>
        <v>Yes</v>
      </c>
      <c r="F14" s="10">
        <f t="shared" si="1"/>
        <v>750</v>
      </c>
      <c r="G14" s="10" t="str">
        <f t="shared" si="2"/>
        <v>Extra Charge</v>
      </c>
    </row>
    <row r="15" spans="2:10" x14ac:dyDescent="0.2">
      <c r="B15" s="7" t="s">
        <v>21</v>
      </c>
      <c r="C15" s="7">
        <v>1.86</v>
      </c>
      <c r="D15" s="8">
        <v>14428</v>
      </c>
      <c r="E15" s="9" t="str">
        <f t="shared" si="0"/>
        <v>Yes</v>
      </c>
      <c r="F15" s="10">
        <f t="shared" si="1"/>
        <v>750</v>
      </c>
      <c r="G15" s="10" t="str">
        <f t="shared" si="2"/>
        <v>Under</v>
      </c>
    </row>
    <row r="16" spans="2:10" x14ac:dyDescent="0.2">
      <c r="B16" s="7" t="s">
        <v>22</v>
      </c>
      <c r="C16" s="7">
        <v>2.63</v>
      </c>
      <c r="D16" s="8">
        <v>9192</v>
      </c>
      <c r="E16" s="9" t="str">
        <f t="shared" si="0"/>
        <v>No</v>
      </c>
      <c r="F16" s="10">
        <f t="shared" si="1"/>
        <v>0</v>
      </c>
      <c r="G16" s="10" t="str">
        <f t="shared" si="2"/>
        <v>Extra Charge</v>
      </c>
    </row>
    <row r="17" spans="2:7" x14ac:dyDescent="0.2">
      <c r="B17" s="7" t="s">
        <v>23</v>
      </c>
      <c r="C17" s="7">
        <v>2.4500000000000002</v>
      </c>
      <c r="D17" s="8">
        <v>6620</v>
      </c>
      <c r="E17" s="9" t="str">
        <f t="shared" si="0"/>
        <v>No</v>
      </c>
      <c r="F17" s="10">
        <f t="shared" si="1"/>
        <v>0</v>
      </c>
      <c r="G17" s="10" t="str">
        <f t="shared" si="2"/>
        <v>Under</v>
      </c>
    </row>
    <row r="18" spans="2:7" x14ac:dyDescent="0.2">
      <c r="B18" s="7" t="s">
        <v>24</v>
      </c>
      <c r="C18" s="7">
        <v>0.98</v>
      </c>
      <c r="D18" s="8">
        <v>8246</v>
      </c>
      <c r="E18" s="9" t="str">
        <f t="shared" si="0"/>
        <v>No</v>
      </c>
      <c r="F18" s="10">
        <f t="shared" si="1"/>
        <v>0</v>
      </c>
      <c r="G18" s="10" t="str">
        <f t="shared" si="2"/>
        <v>Under</v>
      </c>
    </row>
    <row r="19" spans="2:7" x14ac:dyDescent="0.2">
      <c r="B19" s="7" t="s">
        <v>25</v>
      </c>
      <c r="C19" s="7">
        <v>2.0699999999999998</v>
      </c>
      <c r="D19" s="8">
        <v>11769</v>
      </c>
      <c r="E19" s="9" t="str">
        <f t="shared" si="0"/>
        <v>Yes</v>
      </c>
      <c r="F19" s="10">
        <f t="shared" si="1"/>
        <v>750</v>
      </c>
      <c r="G19" s="10" t="str">
        <f t="shared" si="2"/>
        <v>Under</v>
      </c>
    </row>
    <row r="20" spans="2:7" x14ac:dyDescent="0.2">
      <c r="B20" s="7" t="s">
        <v>26</v>
      </c>
      <c r="C20" s="7">
        <v>3.29</v>
      </c>
      <c r="D20" s="8">
        <v>11654</v>
      </c>
      <c r="E20" s="9" t="str">
        <f t="shared" si="0"/>
        <v>Yes</v>
      </c>
      <c r="F20" s="10">
        <f t="shared" si="1"/>
        <v>750</v>
      </c>
      <c r="G20" s="10" t="str">
        <f t="shared" si="2"/>
        <v>Extra Charge</v>
      </c>
    </row>
    <row r="21" spans="2:7" x14ac:dyDescent="0.2">
      <c r="B21" s="7" t="s">
        <v>27</v>
      </c>
      <c r="C21" s="7">
        <v>2.02</v>
      </c>
      <c r="D21" s="8">
        <v>6388</v>
      </c>
      <c r="E21" s="9" t="str">
        <f t="shared" si="0"/>
        <v>No</v>
      </c>
      <c r="F21" s="10">
        <f t="shared" si="1"/>
        <v>0</v>
      </c>
      <c r="G21" s="10" t="str">
        <f t="shared" si="2"/>
        <v>Under</v>
      </c>
    </row>
    <row r="22" spans="2:7" x14ac:dyDescent="0.2">
      <c r="B22" s="7" t="s">
        <v>28</v>
      </c>
      <c r="C22" s="7">
        <v>1.98</v>
      </c>
      <c r="D22" s="8">
        <v>6134</v>
      </c>
      <c r="E22" s="9" t="str">
        <f t="shared" si="0"/>
        <v>No</v>
      </c>
      <c r="F22" s="10">
        <f t="shared" si="1"/>
        <v>0</v>
      </c>
      <c r="G22" s="10" t="str">
        <f t="shared" si="2"/>
        <v>Under</v>
      </c>
    </row>
    <row r="23" spans="2:7" x14ac:dyDescent="0.2">
      <c r="B23" s="7" t="s">
        <v>29</v>
      </c>
      <c r="C23" s="7">
        <v>1.78</v>
      </c>
      <c r="D23" s="8">
        <v>14715</v>
      </c>
      <c r="E23" s="9" t="str">
        <f t="shared" si="0"/>
        <v>Yes</v>
      </c>
      <c r="F23" s="10">
        <f t="shared" si="1"/>
        <v>750</v>
      </c>
      <c r="G23" s="10" t="str">
        <f t="shared" si="2"/>
        <v>Under</v>
      </c>
    </row>
    <row r="24" spans="2:7" x14ac:dyDescent="0.2">
      <c r="B24" s="7" t="s">
        <v>30</v>
      </c>
      <c r="C24" s="7">
        <v>0.11</v>
      </c>
      <c r="D24" s="8">
        <v>5266</v>
      </c>
      <c r="E24" s="9" t="str">
        <f t="shared" si="0"/>
        <v>No</v>
      </c>
      <c r="F24" s="10">
        <f t="shared" si="1"/>
        <v>0</v>
      </c>
      <c r="G24" s="10" t="str">
        <f t="shared" si="2"/>
        <v>Under</v>
      </c>
    </row>
    <row r="25" spans="2:7" x14ac:dyDescent="0.2">
      <c r="B25" s="14"/>
      <c r="C25"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7A75B-3023-4156-8507-BE05CFD3F839}">
  <sheetPr>
    <tabColor rgb="FFFF0000"/>
  </sheetPr>
  <dimension ref="B2:J25"/>
  <sheetViews>
    <sheetView zoomScale="85" zoomScaleNormal="85" workbookViewId="0">
      <selection activeCell="G5" sqref="G5:G24"/>
    </sheetView>
  </sheetViews>
  <sheetFormatPr defaultColWidth="8.85546875" defaultRowHeight="12.75" x14ac:dyDescent="0.2"/>
  <cols>
    <col min="1" max="1" width="2.140625" style="1" customWidth="1"/>
    <col min="2" max="2" width="19.7109375" style="1" bestFit="1" customWidth="1"/>
    <col min="3" max="3" width="15.140625" style="1" customWidth="1"/>
    <col min="4" max="4" width="8.28515625" style="1" bestFit="1" customWidth="1"/>
    <col min="5" max="5" width="24.42578125" style="1" customWidth="1"/>
    <col min="6" max="6" width="21.42578125" style="1" customWidth="1"/>
    <col min="7" max="7" width="20.140625" style="1" customWidth="1"/>
    <col min="8" max="8" width="2.42578125" style="1" customWidth="1"/>
    <col min="9" max="9" width="24.7109375" style="1" customWidth="1"/>
    <col min="10" max="10" width="11.85546875" style="1" customWidth="1"/>
    <col min="11" max="16384" width="8.85546875" style="1"/>
  </cols>
  <sheetData>
    <row r="2" spans="2:10" ht="111.75" customHeight="1" x14ac:dyDescent="0.2">
      <c r="D2" s="15" t="s">
        <v>0</v>
      </c>
      <c r="E2" s="3" t="str">
        <f>"1) Using a formula for this column, put the word Yes or No in each cell to state whether or not the employee got the bonus. "&amp;I4</f>
        <v>1) Using a formula for this column, put the word Yes or No in each cell to state whether or not the employee got the bonus. Contact reads: If employee has sales of $10,000 or more they get a bonus.</v>
      </c>
      <c r="F2" s="3" t="str">
        <f>"2) Using a formula for this column, put the bonus amount that each employee earned in each cell. "&amp;I4</f>
        <v>2) Using a formula for this column, put the bonus amount that each employee earned in each cell. Contact reads: If employee has sales of $10,000 or more they get a bonus.</v>
      </c>
      <c r="G2" s="3" t="str">
        <f>"3) Using a formula for this column, Put the text 'Under' in the cell if their Cell Phone Data usage is less than "&amp;J12&amp;" or the text 'Extra Charge' if the usage is 2.5 or more."</f>
        <v>3) Using a formula for this column, Put the text 'Under' in the cell if their Cell Phone Data usage is less than 2.5 or the text 'Extra Charge' if the usage is 2.5 or more.</v>
      </c>
    </row>
    <row r="4" spans="2:10" ht="30" x14ac:dyDescent="0.25">
      <c r="B4" s="4" t="s">
        <v>1</v>
      </c>
      <c r="C4" s="4" t="s">
        <v>2</v>
      </c>
      <c r="D4" s="4" t="s">
        <v>3</v>
      </c>
      <c r="E4" s="5" t="s">
        <v>4</v>
      </c>
      <c r="F4" s="5" t="s">
        <v>5</v>
      </c>
      <c r="G4" s="5" t="s">
        <v>6</v>
      </c>
      <c r="H4" s="6"/>
      <c r="I4" s="1" t="str">
        <f>"Contact reads: If employee has sales of "&amp;DOLLAR(J6,0)&amp;" or more they get a bonus."</f>
        <v>Contact reads: If employee has sales of $10,000 or more they get a bonus.</v>
      </c>
    </row>
    <row r="5" spans="2:10" x14ac:dyDescent="0.2">
      <c r="B5" s="7" t="s">
        <v>7</v>
      </c>
      <c r="C5" s="7">
        <v>2.1800000000000002</v>
      </c>
      <c r="D5" s="8">
        <v>9181</v>
      </c>
      <c r="E5" s="9" t="str" cm="1">
        <f t="array" ref="E5:E24">IF(D5:D24&gt;=$J$6,"Yes","No")</f>
        <v>No</v>
      </c>
      <c r="F5" s="10" cm="1">
        <f t="array" ref="F5:F24">IF(D5:D24&gt;=$J$6,$J$7,0)</f>
        <v>0</v>
      </c>
      <c r="G5" s="10" t="str" cm="1">
        <f t="array" ref="G5:G24">IF(C5:C24&lt;$J$12,"Under","Extra Charge")</f>
        <v>Under</v>
      </c>
      <c r="I5" s="1" t="str">
        <f>"Are Sales equal to or greater than "&amp;DOLLAR(J6,0)&amp;"?"</f>
        <v>Are Sales equal to or greater than $10,000?</v>
      </c>
    </row>
    <row r="6" spans="2:10" x14ac:dyDescent="0.2">
      <c r="B6" s="7" t="s">
        <v>8</v>
      </c>
      <c r="C6" s="7">
        <v>2.0499999999999998</v>
      </c>
      <c r="D6" s="8">
        <v>7827</v>
      </c>
      <c r="E6" s="9" t="str">
        <v>No</v>
      </c>
      <c r="F6" s="10">
        <v>0</v>
      </c>
      <c r="G6" s="10" t="str">
        <v>Under</v>
      </c>
      <c r="I6" s="11" t="s">
        <v>9</v>
      </c>
      <c r="J6" s="12">
        <v>10000</v>
      </c>
    </row>
    <row r="7" spans="2:10" x14ac:dyDescent="0.2">
      <c r="B7" s="7" t="s">
        <v>10</v>
      </c>
      <c r="C7" s="7">
        <v>0.19</v>
      </c>
      <c r="D7" s="8">
        <v>6477</v>
      </c>
      <c r="E7" s="9" t="str">
        <v>No</v>
      </c>
      <c r="F7" s="10">
        <v>0</v>
      </c>
      <c r="G7" s="10" t="str">
        <v>Under</v>
      </c>
      <c r="I7" s="13" t="s">
        <v>11</v>
      </c>
      <c r="J7" s="12">
        <v>750</v>
      </c>
    </row>
    <row r="8" spans="2:10" x14ac:dyDescent="0.2">
      <c r="B8" s="7" t="s">
        <v>12</v>
      </c>
      <c r="C8" s="7">
        <v>1.76</v>
      </c>
      <c r="D8" s="8">
        <v>9358</v>
      </c>
      <c r="E8" s="9" t="str">
        <v>No</v>
      </c>
      <c r="F8" s="10">
        <v>0</v>
      </c>
      <c r="G8" s="10" t="str">
        <v>Under</v>
      </c>
    </row>
    <row r="9" spans="2:10" x14ac:dyDescent="0.2">
      <c r="B9" s="7" t="s">
        <v>13</v>
      </c>
      <c r="C9" s="7">
        <v>0.59</v>
      </c>
      <c r="D9" s="8">
        <v>14915</v>
      </c>
      <c r="E9" s="9" t="str">
        <v>Yes</v>
      </c>
      <c r="F9" s="10">
        <v>750</v>
      </c>
      <c r="G9" s="10" t="str">
        <v>Under</v>
      </c>
    </row>
    <row r="10" spans="2:10" x14ac:dyDescent="0.2">
      <c r="B10" s="7" t="s">
        <v>14</v>
      </c>
      <c r="C10" s="7">
        <v>2.82</v>
      </c>
      <c r="D10" s="8">
        <v>8670</v>
      </c>
      <c r="E10" s="9" t="str">
        <v>No</v>
      </c>
      <c r="F10" s="10">
        <v>0</v>
      </c>
      <c r="G10" s="10" t="str">
        <v>Extra Charge</v>
      </c>
    </row>
    <row r="11" spans="2:10" x14ac:dyDescent="0.2">
      <c r="B11" s="7" t="s">
        <v>15</v>
      </c>
      <c r="C11" s="7">
        <v>1.56</v>
      </c>
      <c r="D11" s="8">
        <v>12413</v>
      </c>
      <c r="E11" s="9" t="str">
        <v>Yes</v>
      </c>
      <c r="F11" s="10">
        <v>750</v>
      </c>
      <c r="G11" s="10" t="str">
        <v>Under</v>
      </c>
      <c r="I11" s="1" t="s">
        <v>16</v>
      </c>
    </row>
    <row r="12" spans="2:10" x14ac:dyDescent="0.2">
      <c r="B12" s="7" t="s">
        <v>17</v>
      </c>
      <c r="C12" s="7">
        <v>2.21</v>
      </c>
      <c r="D12" s="8">
        <v>6291</v>
      </c>
      <c r="E12" s="9" t="str">
        <v>No</v>
      </c>
      <c r="F12" s="10">
        <v>0</v>
      </c>
      <c r="G12" s="10" t="str">
        <v>Under</v>
      </c>
      <c r="I12" s="13" t="s">
        <v>18</v>
      </c>
      <c r="J12" s="7">
        <v>2.5</v>
      </c>
    </row>
    <row r="13" spans="2:10" x14ac:dyDescent="0.2">
      <c r="B13" s="7" t="s">
        <v>19</v>
      </c>
      <c r="C13" s="7">
        <v>1.97</v>
      </c>
      <c r="D13" s="8">
        <v>6083</v>
      </c>
      <c r="E13" s="9" t="str">
        <v>No</v>
      </c>
      <c r="F13" s="10">
        <v>0</v>
      </c>
      <c r="G13" s="10" t="str">
        <v>Under</v>
      </c>
    </row>
    <row r="14" spans="2:10" x14ac:dyDescent="0.2">
      <c r="B14" s="7" t="s">
        <v>20</v>
      </c>
      <c r="C14" s="7">
        <v>2.99</v>
      </c>
      <c r="D14" s="8">
        <v>12633</v>
      </c>
      <c r="E14" s="9" t="str">
        <v>Yes</v>
      </c>
      <c r="F14" s="10">
        <v>750</v>
      </c>
      <c r="G14" s="10" t="str">
        <v>Extra Charge</v>
      </c>
    </row>
    <row r="15" spans="2:10" x14ac:dyDescent="0.2">
      <c r="B15" s="7" t="s">
        <v>21</v>
      </c>
      <c r="C15" s="7">
        <v>1.86</v>
      </c>
      <c r="D15" s="8">
        <v>14428</v>
      </c>
      <c r="E15" s="9" t="str">
        <v>Yes</v>
      </c>
      <c r="F15" s="10">
        <v>750</v>
      </c>
      <c r="G15" s="10" t="str">
        <v>Under</v>
      </c>
      <c r="J15" s="1" t="str" cm="1">
        <f t="array" aca="1" ref="J15:J17" ca="1">_xlfn.TOCOL(_xlfn.FORMULATEXT(E5:G5))</f>
        <v>=IF(D5:D24&gt;=$J$6,"Yes","No")</v>
      </c>
    </row>
    <row r="16" spans="2:10" x14ac:dyDescent="0.2">
      <c r="B16" s="7" t="s">
        <v>22</v>
      </c>
      <c r="C16" s="7">
        <v>2.63</v>
      </c>
      <c r="D16" s="8">
        <v>9192</v>
      </c>
      <c r="E16" s="9" t="str">
        <v>No</v>
      </c>
      <c r="F16" s="10">
        <v>0</v>
      </c>
      <c r="G16" s="10" t="str">
        <v>Extra Charge</v>
      </c>
      <c r="J16" s="1" t="str">
        <f ca="1"/>
        <v>=IF(D5:D24&gt;=$J$6,$J$7,0)</v>
      </c>
    </row>
    <row r="17" spans="2:10" x14ac:dyDescent="0.2">
      <c r="B17" s="7" t="s">
        <v>23</v>
      </c>
      <c r="C17" s="7">
        <v>2.4500000000000002</v>
      </c>
      <c r="D17" s="8">
        <v>6620</v>
      </c>
      <c r="E17" s="9" t="str">
        <v>No</v>
      </c>
      <c r="F17" s="10">
        <v>0</v>
      </c>
      <c r="G17" s="10" t="str">
        <v>Under</v>
      </c>
      <c r="J17" s="1" t="str">
        <f ca="1"/>
        <v>=IF(C5:C24&lt;$J$12,"Under","Extra Charge")</v>
      </c>
    </row>
    <row r="18" spans="2:10" x14ac:dyDescent="0.2">
      <c r="B18" s="7" t="s">
        <v>24</v>
      </c>
      <c r="C18" s="7">
        <v>0.98</v>
      </c>
      <c r="D18" s="8">
        <v>8246</v>
      </c>
      <c r="E18" s="9" t="str">
        <v>No</v>
      </c>
      <c r="F18" s="10">
        <v>0</v>
      </c>
      <c r="G18" s="10" t="str">
        <v>Under</v>
      </c>
    </row>
    <row r="19" spans="2:10" x14ac:dyDescent="0.2">
      <c r="B19" s="7" t="s">
        <v>25</v>
      </c>
      <c r="C19" s="7">
        <v>2.0699999999999998</v>
      </c>
      <c r="D19" s="8">
        <v>11769</v>
      </c>
      <c r="E19" s="9" t="str">
        <v>Yes</v>
      </c>
      <c r="F19" s="10">
        <v>750</v>
      </c>
      <c r="G19" s="10" t="str">
        <v>Under</v>
      </c>
    </row>
    <row r="20" spans="2:10" x14ac:dyDescent="0.2">
      <c r="B20" s="7" t="s">
        <v>26</v>
      </c>
      <c r="C20" s="7">
        <v>3.29</v>
      </c>
      <c r="D20" s="8">
        <v>11654</v>
      </c>
      <c r="E20" s="9" t="str">
        <v>Yes</v>
      </c>
      <c r="F20" s="10">
        <v>750</v>
      </c>
      <c r="G20" s="10" t="str">
        <v>Extra Charge</v>
      </c>
    </row>
    <row r="21" spans="2:10" x14ac:dyDescent="0.2">
      <c r="B21" s="7" t="s">
        <v>27</v>
      </c>
      <c r="C21" s="7">
        <v>2.02</v>
      </c>
      <c r="D21" s="8">
        <v>6388</v>
      </c>
      <c r="E21" s="9" t="str">
        <v>No</v>
      </c>
      <c r="F21" s="10">
        <v>0</v>
      </c>
      <c r="G21" s="10" t="str">
        <v>Under</v>
      </c>
    </row>
    <row r="22" spans="2:10" x14ac:dyDescent="0.2">
      <c r="B22" s="7" t="s">
        <v>28</v>
      </c>
      <c r="C22" s="7">
        <v>1.98</v>
      </c>
      <c r="D22" s="8">
        <v>6134</v>
      </c>
      <c r="E22" s="9" t="str">
        <v>No</v>
      </c>
      <c r="F22" s="10">
        <v>0</v>
      </c>
      <c r="G22" s="10" t="str">
        <v>Under</v>
      </c>
    </row>
    <row r="23" spans="2:10" x14ac:dyDescent="0.2">
      <c r="B23" s="7" t="s">
        <v>29</v>
      </c>
      <c r="C23" s="7">
        <v>1.78</v>
      </c>
      <c r="D23" s="8">
        <v>14715</v>
      </c>
      <c r="E23" s="9" t="str">
        <v>Yes</v>
      </c>
      <c r="F23" s="10">
        <v>750</v>
      </c>
      <c r="G23" s="10" t="str">
        <v>Under</v>
      </c>
    </row>
    <row r="24" spans="2:10" x14ac:dyDescent="0.2">
      <c r="B24" s="7" t="s">
        <v>30</v>
      </c>
      <c r="C24" s="7">
        <v>0.11</v>
      </c>
      <c r="D24" s="8">
        <v>5266</v>
      </c>
      <c r="E24" s="9" t="str">
        <v>No</v>
      </c>
      <c r="F24" s="10">
        <v>0</v>
      </c>
      <c r="G24" s="10" t="str">
        <v>Under</v>
      </c>
    </row>
    <row r="25" spans="2:10" x14ac:dyDescent="0.2">
      <c r="B25" s="14"/>
      <c r="C25" s="1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0818-365E-44E8-9A48-45127748E4E3}">
  <sheetPr>
    <tabColor rgb="FF0000FF"/>
  </sheetPr>
  <dimension ref="A1:R18"/>
  <sheetViews>
    <sheetView tabSelected="1" zoomScale="145" zoomScaleNormal="145" workbookViewId="0">
      <selection activeCell="G8" sqref="G8:G18"/>
    </sheetView>
  </sheetViews>
  <sheetFormatPr defaultColWidth="9.140625" defaultRowHeight="15" x14ac:dyDescent="0.25"/>
  <cols>
    <col min="1" max="1" width="1.42578125" customWidth="1"/>
    <col min="2" max="2" width="15.140625" customWidth="1"/>
    <col min="3" max="3" width="14.7109375" customWidth="1"/>
    <col min="4" max="4" width="11.28515625" customWidth="1"/>
    <col min="5" max="5" width="10.85546875" customWidth="1"/>
    <col min="6" max="6" width="9.28515625" bestFit="1" customWidth="1"/>
    <col min="7" max="7" width="14.42578125" customWidth="1"/>
    <col min="8" max="8" width="2.28515625" customWidth="1"/>
    <col min="9" max="9" width="29.28515625" bestFit="1" customWidth="1"/>
    <col min="16" max="16" width="11.140625" bestFit="1" customWidth="1"/>
    <col min="17" max="17" width="1.42578125" customWidth="1"/>
  </cols>
  <sheetData>
    <row r="1" spans="1:18" ht="6" customHeight="1" x14ac:dyDescent="0.25"/>
    <row r="2" spans="1:18" x14ac:dyDescent="0.25">
      <c r="A2" s="16"/>
      <c r="B2" t="s">
        <v>31</v>
      </c>
    </row>
    <row r="3" spans="1:18" x14ac:dyDescent="0.25">
      <c r="A3" s="16"/>
      <c r="B3" t="s">
        <v>32</v>
      </c>
    </row>
    <row r="4" spans="1:18" x14ac:dyDescent="0.25">
      <c r="A4" s="16"/>
      <c r="B4" t="s">
        <v>33</v>
      </c>
    </row>
    <row r="5" spans="1:18" ht="6" customHeight="1" x14ac:dyDescent="0.25"/>
    <row r="6" spans="1:18" ht="30" x14ac:dyDescent="0.25">
      <c r="B6" s="17" t="s">
        <v>34</v>
      </c>
      <c r="C6" s="17" t="s">
        <v>35</v>
      </c>
      <c r="D6" s="17" t="s">
        <v>36</v>
      </c>
      <c r="E6" s="17" t="s">
        <v>37</v>
      </c>
      <c r="F6" s="17" t="s">
        <v>38</v>
      </c>
      <c r="G6" s="18" t="s">
        <v>39</v>
      </c>
      <c r="P6" s="16" t="s">
        <v>40</v>
      </c>
    </row>
    <row r="7" spans="1:18" x14ac:dyDescent="0.25">
      <c r="B7" s="19">
        <v>44470</v>
      </c>
      <c r="C7" s="20" t="s">
        <v>41</v>
      </c>
      <c r="D7" s="20"/>
      <c r="E7" s="21"/>
      <c r="F7" s="21"/>
      <c r="G7" s="21">
        <v>5000</v>
      </c>
      <c r="R7" s="16" t="str">
        <f>"Formula in cell "&amp;ADDRESS(ROW(P8),COLUMN(P8),4)&amp;":"</f>
        <v>Formula in cell P8:</v>
      </c>
    </row>
    <row r="8" spans="1:18" x14ac:dyDescent="0.25">
      <c r="B8" s="19">
        <v>44472</v>
      </c>
      <c r="C8" s="20" t="s">
        <v>42</v>
      </c>
      <c r="D8" s="20" t="s">
        <v>43</v>
      </c>
      <c r="E8" s="21"/>
      <c r="F8" s="21">
        <v>500</v>
      </c>
      <c r="G8" s="22">
        <f>IF(ISNUMBER(B8),G7-F8+E8,"")</f>
        <v>4500</v>
      </c>
      <c r="P8" s="22" cm="1">
        <f t="array" aca="1" ref="P8:P18" ca="1">IF(ISNUMBER(B8:B18),OFFSET(F8:F18,-1,1)-F8:F18+E8:E18,"")</f>
        <v>4500</v>
      </c>
      <c r="R8" t="str">
        <f ca="1">IF(_xlfn.ISFORMULA(P8),_xlfn.FORMULATEXT(P8),"")</f>
        <v>=IF(ISNUMBER(B8:B18),OFFSET(F8:F18,-1,1)-F8:F18+E8:E18,"")</v>
      </c>
    </row>
    <row r="9" spans="1:18" x14ac:dyDescent="0.25">
      <c r="B9" s="19">
        <v>44473</v>
      </c>
      <c r="C9" s="20" t="s">
        <v>44</v>
      </c>
      <c r="D9" s="20" t="s">
        <v>45</v>
      </c>
      <c r="E9" s="21">
        <v>950</v>
      </c>
      <c r="F9" s="21"/>
      <c r="G9" s="22">
        <f t="shared" ref="G9:G18" si="0">IF(ISNUMBER(B9),G8-F9+E9,"")</f>
        <v>5450</v>
      </c>
      <c r="P9" s="22">
        <f ca="1"/>
        <v>5450</v>
      </c>
    </row>
    <row r="10" spans="1:18" x14ac:dyDescent="0.25">
      <c r="B10" s="19">
        <v>44473</v>
      </c>
      <c r="C10" s="20" t="s">
        <v>46</v>
      </c>
      <c r="D10" s="20"/>
      <c r="E10" s="21"/>
      <c r="F10" s="21">
        <v>55.25</v>
      </c>
      <c r="G10" s="22">
        <f t="shared" si="0"/>
        <v>5394.75</v>
      </c>
      <c r="P10" s="22">
        <f ca="1"/>
        <v>5394.75</v>
      </c>
    </row>
    <row r="11" spans="1:18" x14ac:dyDescent="0.25">
      <c r="B11" s="19">
        <v>44474</v>
      </c>
      <c r="C11" s="20" t="s">
        <v>47</v>
      </c>
      <c r="D11" s="20" t="s">
        <v>45</v>
      </c>
      <c r="E11" s="21">
        <v>150.44999999999999</v>
      </c>
      <c r="F11" s="21"/>
      <c r="G11" s="22">
        <f t="shared" si="0"/>
        <v>5545.2</v>
      </c>
      <c r="P11" s="22">
        <f ca="1"/>
        <v>5545.2</v>
      </c>
    </row>
    <row r="12" spans="1:18" x14ac:dyDescent="0.25">
      <c r="B12" s="19"/>
      <c r="C12" s="20"/>
      <c r="D12" s="20"/>
      <c r="E12" s="21"/>
      <c r="F12" s="21"/>
      <c r="G12" s="22" t="str">
        <f t="shared" si="0"/>
        <v/>
      </c>
      <c r="P12" s="22" t="str">
        <f ca="1"/>
        <v/>
      </c>
    </row>
    <row r="13" spans="1:18" x14ac:dyDescent="0.25">
      <c r="B13" s="19"/>
      <c r="C13" s="20"/>
      <c r="D13" s="20"/>
      <c r="E13" s="21"/>
      <c r="F13" s="21"/>
      <c r="G13" s="22" t="str">
        <f t="shared" si="0"/>
        <v/>
      </c>
      <c r="P13" s="22" t="str">
        <f ca="1"/>
        <v/>
      </c>
    </row>
    <row r="14" spans="1:18" x14ac:dyDescent="0.25">
      <c r="B14" s="19"/>
      <c r="C14" s="20"/>
      <c r="D14" s="20"/>
      <c r="E14" s="21"/>
      <c r="F14" s="21"/>
      <c r="G14" s="22" t="str">
        <f t="shared" si="0"/>
        <v/>
      </c>
      <c r="P14" s="22" t="str">
        <f ca="1"/>
        <v/>
      </c>
    </row>
    <row r="15" spans="1:18" x14ac:dyDescent="0.25">
      <c r="B15" s="19"/>
      <c r="C15" s="20"/>
      <c r="D15" s="20"/>
      <c r="E15" s="21"/>
      <c r="F15" s="21"/>
      <c r="G15" s="22" t="str">
        <f t="shared" si="0"/>
        <v/>
      </c>
      <c r="P15" s="22" t="str">
        <f ca="1"/>
        <v/>
      </c>
    </row>
    <row r="16" spans="1:18" x14ac:dyDescent="0.25">
      <c r="B16" s="19"/>
      <c r="C16" s="20"/>
      <c r="D16" s="20"/>
      <c r="E16" s="21"/>
      <c r="F16" s="21"/>
      <c r="G16" s="22" t="str">
        <f t="shared" si="0"/>
        <v/>
      </c>
      <c r="P16" s="22" t="str">
        <f ca="1"/>
        <v/>
      </c>
    </row>
    <row r="17" spans="2:16" x14ac:dyDescent="0.25">
      <c r="B17" s="19"/>
      <c r="C17" s="20"/>
      <c r="D17" s="20"/>
      <c r="E17" s="21"/>
      <c r="F17" s="21"/>
      <c r="G17" s="22" t="str">
        <f t="shared" si="0"/>
        <v/>
      </c>
      <c r="P17" s="22" t="str">
        <f ca="1"/>
        <v/>
      </c>
    </row>
    <row r="18" spans="2:16" x14ac:dyDescent="0.25">
      <c r="B18" s="19"/>
      <c r="C18" s="20"/>
      <c r="D18" s="20"/>
      <c r="E18" s="21"/>
      <c r="F18" s="21"/>
      <c r="G18" s="22" t="str">
        <f t="shared" si="0"/>
        <v/>
      </c>
      <c r="P18" s="22" t="str">
        <f ca="1"/>
        <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66E6C-2632-4324-B5C3-C74DCDBE4C6E}">
  <sheetPr>
    <tabColor rgb="FFFF0000"/>
  </sheetPr>
  <dimension ref="A1:N18"/>
  <sheetViews>
    <sheetView zoomScaleNormal="100" workbookViewId="0">
      <selection activeCell="G5" sqref="G5:G24"/>
    </sheetView>
  </sheetViews>
  <sheetFormatPr defaultColWidth="9.140625" defaultRowHeight="15" x14ac:dyDescent="0.25"/>
  <cols>
    <col min="1" max="1" width="1.42578125" customWidth="1"/>
    <col min="2" max="2" width="15.140625" customWidth="1"/>
    <col min="3" max="3" width="14.7109375" customWidth="1"/>
    <col min="4" max="4" width="11.28515625" customWidth="1"/>
    <col min="5" max="5" width="10.85546875" customWidth="1"/>
    <col min="6" max="6" width="9.28515625" bestFit="1" customWidth="1"/>
    <col min="7" max="7" width="14.42578125" customWidth="1"/>
    <col min="8" max="8" width="2.28515625" customWidth="1"/>
    <col min="9" max="9" width="29.28515625" bestFit="1" customWidth="1"/>
    <col min="10" max="10" width="13" customWidth="1"/>
    <col min="11" max="11" width="1.85546875" customWidth="1"/>
    <col min="12" max="12" width="27.42578125" bestFit="1" customWidth="1"/>
    <col min="13" max="13" width="2.28515625" customWidth="1"/>
    <col min="14" max="14" width="11.140625" bestFit="1" customWidth="1"/>
    <col min="15" max="15" width="1.42578125" customWidth="1"/>
  </cols>
  <sheetData>
    <row r="1" spans="1:14" ht="6" customHeight="1" x14ac:dyDescent="0.25"/>
    <row r="2" spans="1:14" x14ac:dyDescent="0.25">
      <c r="A2" s="16"/>
      <c r="B2" t="s">
        <v>31</v>
      </c>
    </row>
    <row r="3" spans="1:14" x14ac:dyDescent="0.25">
      <c r="A3" s="16"/>
      <c r="B3" t="s">
        <v>32</v>
      </c>
    </row>
    <row r="4" spans="1:14" x14ac:dyDescent="0.25">
      <c r="A4" s="16"/>
      <c r="B4" t="s">
        <v>33</v>
      </c>
      <c r="N4" s="16" t="s">
        <v>48</v>
      </c>
    </row>
    <row r="5" spans="1:14" ht="6" customHeight="1" x14ac:dyDescent="0.25"/>
    <row r="6" spans="1:14" ht="30" x14ac:dyDescent="0.25">
      <c r="B6" s="17" t="s">
        <v>34</v>
      </c>
      <c r="C6" s="17" t="s">
        <v>35</v>
      </c>
      <c r="D6" s="17" t="s">
        <v>36</v>
      </c>
      <c r="E6" s="17" t="s">
        <v>37</v>
      </c>
      <c r="F6" s="17" t="s">
        <v>38</v>
      </c>
      <c r="G6" s="18" t="s">
        <v>39</v>
      </c>
      <c r="J6" s="18" t="s">
        <v>39</v>
      </c>
    </row>
    <row r="7" spans="1:14" x14ac:dyDescent="0.25">
      <c r="B7" s="19">
        <v>44470</v>
      </c>
      <c r="C7" s="20" t="s">
        <v>41</v>
      </c>
      <c r="D7" s="20"/>
      <c r="E7" s="21"/>
      <c r="F7" s="21"/>
      <c r="G7" s="21">
        <v>5000</v>
      </c>
      <c r="I7" s="16" t="str">
        <f>"Formula in cell "&amp;ADDRESS(ROW(G8),COLUMN(G8),4)&amp;":"</f>
        <v>Formula in cell G8:</v>
      </c>
      <c r="J7" s="21">
        <v>5000</v>
      </c>
      <c r="K7" s="16"/>
      <c r="L7" s="16" t="str">
        <f>"Formula in cell "&amp;ADDRESS(ROW(J8),COLUMN(J8),4)&amp;":"</f>
        <v>Formula in cell J8:</v>
      </c>
      <c r="M7" s="16"/>
      <c r="N7" s="16" t="s">
        <v>49</v>
      </c>
    </row>
    <row r="8" spans="1:14" x14ac:dyDescent="0.25">
      <c r="B8" s="19">
        <v>44472</v>
      </c>
      <c r="C8" s="20" t="s">
        <v>42</v>
      </c>
      <c r="D8" s="20" t="s">
        <v>43</v>
      </c>
      <c r="E8" s="21"/>
      <c r="F8" s="21">
        <v>500</v>
      </c>
      <c r="G8" s="22">
        <f>IF(ISNUMBER(B8),G7+E8-F8,"")</f>
        <v>4500</v>
      </c>
      <c r="I8" t="str">
        <f ca="1">_xlfn.IFNA(_xlfn.FORMULATEXT(G8),"")</f>
        <v>=IF(ISNUMBER(B8),G7+E8-F8,"")</v>
      </c>
      <c r="J8" s="22">
        <f>IF(ISBLANK(B8),"",G7-F8+E8)</f>
        <v>4500</v>
      </c>
      <c r="L8" t="str">
        <f ca="1">_xlfn.IFNA(_xlfn.FORMULATEXT(J8),"")</f>
        <v>=IF(ISBLANK(B8),"",G7-F8+E8)</v>
      </c>
      <c r="N8" s="22" cm="1">
        <f t="array" ref="N8:N18">IF(ISNUMBER(B8:B18),_xlfn.SCAN(G7,E8:E18-F8:F18,_xleta.SUM),"")</f>
        <v>4500</v>
      </c>
    </row>
    <row r="9" spans="1:14" x14ac:dyDescent="0.25">
      <c r="B9" s="19">
        <v>44473</v>
      </c>
      <c r="C9" s="20" t="s">
        <v>44</v>
      </c>
      <c r="D9" s="20" t="s">
        <v>45</v>
      </c>
      <c r="E9" s="21">
        <v>950</v>
      </c>
      <c r="F9" s="21"/>
      <c r="G9" s="22">
        <f t="shared" ref="G9:G18" si="0">IF(ISNUMBER(B9),G8+E9-F9,"")</f>
        <v>5450</v>
      </c>
      <c r="J9" s="22">
        <f t="shared" ref="J9:J18" si="1">IF(ISBLANK(B9),"",G8-F9+E9)</f>
        <v>5450</v>
      </c>
      <c r="N9" s="22">
        <v>5450</v>
      </c>
    </row>
    <row r="10" spans="1:14" x14ac:dyDescent="0.25">
      <c r="B10" s="19">
        <v>44473</v>
      </c>
      <c r="C10" s="20" t="s">
        <v>46</v>
      </c>
      <c r="D10" s="20"/>
      <c r="E10" s="21"/>
      <c r="F10" s="21">
        <v>55.25</v>
      </c>
      <c r="G10" s="22">
        <f t="shared" si="0"/>
        <v>5394.75</v>
      </c>
      <c r="J10" s="22">
        <f t="shared" si="1"/>
        <v>5394.75</v>
      </c>
      <c r="N10" s="22">
        <v>5394.75</v>
      </c>
    </row>
    <row r="11" spans="1:14" x14ac:dyDescent="0.25">
      <c r="B11" s="19">
        <v>44474</v>
      </c>
      <c r="C11" s="20" t="s">
        <v>47</v>
      </c>
      <c r="D11" s="20" t="s">
        <v>45</v>
      </c>
      <c r="E11" s="21">
        <v>150.44999999999999</v>
      </c>
      <c r="F11" s="21"/>
      <c r="G11" s="22">
        <f t="shared" si="0"/>
        <v>5545.2</v>
      </c>
      <c r="J11" s="22">
        <f t="shared" si="1"/>
        <v>5545.2</v>
      </c>
      <c r="N11" s="22">
        <v>5545.2</v>
      </c>
    </row>
    <row r="12" spans="1:14" x14ac:dyDescent="0.25">
      <c r="B12" s="19"/>
      <c r="C12" s="20"/>
      <c r="D12" s="20"/>
      <c r="E12" s="21"/>
      <c r="F12" s="21"/>
      <c r="G12" s="22" t="str">
        <f t="shared" si="0"/>
        <v/>
      </c>
      <c r="J12" s="22" t="str">
        <f t="shared" si="1"/>
        <v/>
      </c>
      <c r="N12" s="22" t="str">
        <v/>
      </c>
    </row>
    <row r="13" spans="1:14" x14ac:dyDescent="0.25">
      <c r="B13" s="19"/>
      <c r="C13" s="20"/>
      <c r="D13" s="20"/>
      <c r="E13" s="21"/>
      <c r="F13" s="21"/>
      <c r="G13" s="22" t="str">
        <f t="shared" si="0"/>
        <v/>
      </c>
      <c r="J13" s="22" t="str">
        <f t="shared" si="1"/>
        <v/>
      </c>
      <c r="N13" s="22" t="str">
        <v/>
      </c>
    </row>
    <row r="14" spans="1:14" x14ac:dyDescent="0.25">
      <c r="B14" s="19"/>
      <c r="C14" s="20"/>
      <c r="D14" s="20"/>
      <c r="E14" s="21"/>
      <c r="F14" s="21"/>
      <c r="G14" s="22" t="str">
        <f t="shared" si="0"/>
        <v/>
      </c>
      <c r="J14" s="22" t="str">
        <f t="shared" si="1"/>
        <v/>
      </c>
      <c r="N14" s="22" t="str">
        <v/>
      </c>
    </row>
    <row r="15" spans="1:14" x14ac:dyDescent="0.25">
      <c r="B15" s="19"/>
      <c r="C15" s="20"/>
      <c r="D15" s="20"/>
      <c r="E15" s="21"/>
      <c r="F15" s="21"/>
      <c r="G15" s="22" t="str">
        <f t="shared" si="0"/>
        <v/>
      </c>
      <c r="J15" s="22" t="str">
        <f t="shared" si="1"/>
        <v/>
      </c>
      <c r="N15" s="22" t="str">
        <v/>
      </c>
    </row>
    <row r="16" spans="1:14" x14ac:dyDescent="0.25">
      <c r="B16" s="19"/>
      <c r="C16" s="20"/>
      <c r="D16" s="20"/>
      <c r="E16" s="21"/>
      <c r="F16" s="21"/>
      <c r="G16" s="22" t="str">
        <f t="shared" si="0"/>
        <v/>
      </c>
      <c r="J16" s="22" t="str">
        <f t="shared" si="1"/>
        <v/>
      </c>
      <c r="N16" s="22" t="str">
        <v/>
      </c>
    </row>
    <row r="17" spans="2:14" x14ac:dyDescent="0.25">
      <c r="B17" s="19"/>
      <c r="C17" s="20"/>
      <c r="D17" s="20"/>
      <c r="E17" s="21"/>
      <c r="F17" s="21"/>
      <c r="G17" s="22" t="str">
        <f t="shared" si="0"/>
        <v/>
      </c>
      <c r="J17" s="22" t="str">
        <f t="shared" si="1"/>
        <v/>
      </c>
      <c r="N17" s="22" t="str">
        <v/>
      </c>
    </row>
    <row r="18" spans="2:14" x14ac:dyDescent="0.25">
      <c r="B18" s="19"/>
      <c r="C18" s="20"/>
      <c r="D18" s="20"/>
      <c r="E18" s="21"/>
      <c r="F18" s="21"/>
      <c r="G18" s="22" t="str">
        <f t="shared" si="0"/>
        <v/>
      </c>
      <c r="J18" s="22" t="str">
        <f t="shared" si="1"/>
        <v/>
      </c>
      <c r="N18" s="22" t="str">
        <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C105-8BE2-46F6-B909-BC38DF6B7BC9}">
  <sheetPr>
    <tabColor rgb="FF0000FF"/>
  </sheetPr>
  <dimension ref="A1:K31"/>
  <sheetViews>
    <sheetView topLeftCell="A6" zoomScale="175" zoomScaleNormal="175" workbookViewId="0">
      <selection activeCell="G5" sqref="G5:G24"/>
    </sheetView>
  </sheetViews>
  <sheetFormatPr defaultColWidth="8.85546875" defaultRowHeight="15" x14ac:dyDescent="0.25"/>
  <cols>
    <col min="1" max="1" width="1.42578125" customWidth="1"/>
    <col min="2" max="2" width="8" customWidth="1"/>
    <col min="3" max="3" width="7.140625" customWidth="1"/>
    <col min="5" max="5" width="8.28515625" customWidth="1"/>
    <col min="6" max="6" width="11" bestFit="1" customWidth="1"/>
    <col min="7" max="7" width="8.7109375" customWidth="1"/>
    <col min="8" max="11" width="13" customWidth="1"/>
    <col min="12" max="12" width="2.42578125" customWidth="1"/>
  </cols>
  <sheetData>
    <row r="1" spans="1:11" ht="5.25" customHeight="1" x14ac:dyDescent="0.25"/>
    <row r="2" spans="1:11" x14ac:dyDescent="0.25">
      <c r="B2" s="16" t="s">
        <v>50</v>
      </c>
    </row>
    <row r="3" spans="1:11" ht="36" customHeight="1" x14ac:dyDescent="0.3">
      <c r="A3" s="23"/>
      <c r="B3" s="44" t="str">
        <f>"Create Boolean formula that will deliver TRUE or FALSE in cell "&amp;ADDRESS(ROW(H16),COLUMN(H16),4)&amp;" that spills to the rows below, and tests each '% Enrollment' number to see if it is "&amp;TEXT($F$13,"0.00%")&amp;" or above."</f>
        <v>Create Boolean formula that will deliver TRUE or FALSE in cell H16 that spills to the rows below, and tests each '% Enrollment' number to see if it is 70.00% or above.</v>
      </c>
      <c r="C3" s="44"/>
      <c r="D3" s="44"/>
      <c r="E3" s="44"/>
      <c r="F3" s="44"/>
      <c r="G3" s="44"/>
      <c r="H3" s="44"/>
      <c r="I3" s="44"/>
      <c r="J3" s="44"/>
      <c r="K3" s="44"/>
    </row>
    <row r="4" spans="1:11" ht="36" customHeight="1" x14ac:dyDescent="0.3">
      <c r="A4" s="23"/>
      <c r="B4" s="44" t="str">
        <f>"Create Boolean formula that will deliver TRUE or FALSE in cell "&amp;ADDRESS(ROW(I16),COLUMN(I16),4)&amp;" that spills to the rows below, and tests each '% Enrollment' number to see if it is past the hurdle of "&amp;TEXT($F$13,"0.00%")&amp;"."</f>
        <v>Create Boolean formula that will deliver TRUE or FALSE in cell I16 that spills to the rows below, and tests each '% Enrollment' number to see if it is past the hurdle of 70.00%.</v>
      </c>
      <c r="C4" s="44"/>
      <c r="D4" s="44"/>
      <c r="E4" s="44"/>
      <c r="F4" s="44"/>
      <c r="G4" s="44"/>
      <c r="H4" s="44"/>
      <c r="I4" s="44"/>
      <c r="J4" s="44"/>
      <c r="K4" s="44"/>
    </row>
    <row r="5" spans="1:11" ht="36" customHeight="1" x14ac:dyDescent="0.3">
      <c r="A5" s="23"/>
      <c r="B5" s="44" t="str">
        <f>"Use the IF function in cell "&amp;ADDRESS(ROW(J16),COLUMN(J16),4)&amp;" that spills to the rows below, and tests each '% Enrollment' number to see if it is "&amp;TEXT($F$13,"0.00%")&amp;" or above."</f>
        <v>Use the IF function in cell J16 that spills to the rows below, and tests each '% Enrollment' number to see if it is 70.00% or above.</v>
      </c>
      <c r="C5" s="44"/>
      <c r="D5" s="44"/>
      <c r="E5" s="44"/>
      <c r="F5" s="44"/>
      <c r="G5" s="44"/>
      <c r="H5" s="44"/>
      <c r="I5" s="44"/>
      <c r="J5" s="44"/>
      <c r="K5" s="44"/>
    </row>
    <row r="6" spans="1:11" ht="18" customHeight="1" x14ac:dyDescent="0.3">
      <c r="A6" s="23"/>
      <c r="B6" s="45" t="str">
        <f>"If it is "&amp;TEXT($F$13,"0.00%")&amp;" or above, the IF should deliver 'Target Met', otherwise 'No'."</f>
        <v>If it is 70.00% or above, the IF should deliver 'Target Met', otherwise 'No'.</v>
      </c>
      <c r="C6" s="45"/>
      <c r="D6" s="45"/>
      <c r="E6" s="45"/>
      <c r="F6" s="45"/>
      <c r="G6" s="45"/>
      <c r="H6" s="45"/>
      <c r="I6" s="45"/>
      <c r="J6" s="45"/>
      <c r="K6" s="45"/>
    </row>
    <row r="7" spans="1:11" ht="36" customHeight="1" x14ac:dyDescent="0.3">
      <c r="A7" s="23"/>
      <c r="B7" s="44" t="str">
        <f>"Use the IF function in cell "&amp;ADDRESS(ROW(K16),COLUMN(K16),4)&amp;" that spills to the rows below, and tests each '% Enrollment' number to see if it is past the hurdle of "&amp;TEXT($F$13,"0.00%")&amp;"."</f>
        <v>Use the IF function in cell K16 that spills to the rows below, and tests each '% Enrollment' number to see if it is past the hurdle of 70.00%.</v>
      </c>
      <c r="C7" s="44"/>
      <c r="D7" s="44"/>
      <c r="E7" s="44"/>
      <c r="F7" s="44"/>
      <c r="G7" s="44"/>
      <c r="H7" s="44"/>
      <c r="I7" s="44"/>
      <c r="J7" s="44"/>
      <c r="K7" s="44"/>
    </row>
    <row r="8" spans="1:11" ht="18" customHeight="1" x14ac:dyDescent="0.3">
      <c r="A8" s="23"/>
      <c r="B8" s="45" t="str">
        <f>"If it is past the hurdle of "&amp;TEXT($F$13,"0.00%")&amp;", the IF should deliver 'Target Met', otherwise 'No'."</f>
        <v>If it is past the hurdle of 70.00%, the IF should deliver 'Target Met', otherwise 'No'.</v>
      </c>
      <c r="C8" s="45"/>
      <c r="D8" s="45"/>
      <c r="E8" s="45"/>
      <c r="F8" s="45"/>
      <c r="G8" s="45"/>
      <c r="H8" s="45"/>
      <c r="I8" s="45"/>
      <c r="J8" s="45"/>
      <c r="K8" s="45"/>
    </row>
    <row r="9" spans="1:11" ht="36" customHeight="1" x14ac:dyDescent="0.3">
      <c r="A9" s="23"/>
      <c r="B9" s="44" t="s">
        <v>51</v>
      </c>
      <c r="C9" s="44"/>
      <c r="D9" s="44"/>
      <c r="E9" s="44"/>
      <c r="F9" s="44"/>
      <c r="G9" s="44"/>
      <c r="H9" s="44"/>
      <c r="I9" s="44"/>
      <c r="J9" s="44"/>
      <c r="K9" s="44"/>
    </row>
    <row r="10" spans="1:11" ht="6.75" customHeight="1" x14ac:dyDescent="0.25"/>
    <row r="11" spans="1:11" ht="6.75" customHeight="1" x14ac:dyDescent="0.25"/>
    <row r="12" spans="1:11" ht="6.75" customHeight="1" x14ac:dyDescent="0.25">
      <c r="F12" s="24"/>
    </row>
    <row r="13" spans="1:11" x14ac:dyDescent="0.25">
      <c r="E13" s="25" t="s">
        <v>52</v>
      </c>
      <c r="F13" s="26">
        <v>0.7</v>
      </c>
    </row>
    <row r="14" spans="1:11" ht="30" x14ac:dyDescent="0.25">
      <c r="H14" s="27" t="str">
        <f>TEXT($F$13,"0.00%")&amp;" included"</f>
        <v>70.00% included</v>
      </c>
      <c r="I14" s="27" t="str">
        <f>TEXT($F$13,"0.00%")&amp;" NOT included"</f>
        <v>70.00% NOT included</v>
      </c>
      <c r="J14" s="27" t="str">
        <f>TEXT($F$13,"0.00%")&amp;" included"</f>
        <v>70.00% included</v>
      </c>
      <c r="K14" s="27" t="str">
        <f>TEXT($F$13,"0.00%")&amp;" NOT included"</f>
        <v>70.00% NOT included</v>
      </c>
    </row>
    <row r="15" spans="1:11" ht="45" x14ac:dyDescent="0.25">
      <c r="B15" s="28" t="s">
        <v>53</v>
      </c>
      <c r="C15" s="28" t="s">
        <v>54</v>
      </c>
      <c r="D15" s="28" t="s">
        <v>55</v>
      </c>
      <c r="E15" s="29" t="s">
        <v>56</v>
      </c>
      <c r="F15" s="28" t="s">
        <v>57</v>
      </c>
      <c r="G15" s="29" t="s">
        <v>58</v>
      </c>
      <c r="H15" s="29" t="s">
        <v>59</v>
      </c>
      <c r="I15" s="29" t="s">
        <v>59</v>
      </c>
      <c r="J15" s="29" t="s">
        <v>60</v>
      </c>
      <c r="K15" s="29" t="s">
        <v>60</v>
      </c>
    </row>
    <row r="16" spans="1:11" x14ac:dyDescent="0.25">
      <c r="B16" s="20" t="s">
        <v>61</v>
      </c>
      <c r="C16" s="20" t="s">
        <v>62</v>
      </c>
      <c r="D16" s="20" t="s">
        <v>63</v>
      </c>
      <c r="E16" s="20">
        <v>30</v>
      </c>
      <c r="F16" s="20">
        <v>21</v>
      </c>
      <c r="G16" s="30">
        <f t="shared" ref="G16:G31" si="0">F16/E16</f>
        <v>0.7</v>
      </c>
      <c r="H16" s="31" t="b" cm="1">
        <f t="array" ref="H16:H31">G16:G31&gt;=$F$13</f>
        <v>1</v>
      </c>
      <c r="I16" s="31" t="b" cm="1">
        <f t="array" ref="I16:I31">G16:G31&gt;$F$13</f>
        <v>0</v>
      </c>
      <c r="J16" s="31" t="str" cm="1">
        <f t="array" ref="J16:J31">IF(G16:G31&gt;=F13,"Target Met","No")</f>
        <v>Target Met</v>
      </c>
      <c r="K16" s="31" t="str" cm="1">
        <f t="array" ref="K16:K31">IF(G16:G31&gt;F13,"Target Met","No")</f>
        <v>No</v>
      </c>
    </row>
    <row r="17" spans="2:11" x14ac:dyDescent="0.25">
      <c r="B17" s="20" t="s">
        <v>61</v>
      </c>
      <c r="C17" s="20" t="s">
        <v>64</v>
      </c>
      <c r="D17" s="20" t="s">
        <v>65</v>
      </c>
      <c r="E17" s="20">
        <v>30</v>
      </c>
      <c r="F17" s="20">
        <v>21</v>
      </c>
      <c r="G17" s="30">
        <f t="shared" si="0"/>
        <v>0.7</v>
      </c>
      <c r="H17" s="31" t="b">
        <v>1</v>
      </c>
      <c r="I17" s="31" t="b">
        <v>0</v>
      </c>
      <c r="J17" s="31" t="str">
        <v>Target Met</v>
      </c>
      <c r="K17" s="31" t="str">
        <v>No</v>
      </c>
    </row>
    <row r="18" spans="2:11" x14ac:dyDescent="0.25">
      <c r="B18" s="20" t="s">
        <v>61</v>
      </c>
      <c r="C18" s="20" t="s">
        <v>66</v>
      </c>
      <c r="D18" s="20" t="s">
        <v>67</v>
      </c>
      <c r="E18" s="20">
        <v>25</v>
      </c>
      <c r="F18" s="20">
        <v>12</v>
      </c>
      <c r="G18" s="30">
        <f t="shared" si="0"/>
        <v>0.48</v>
      </c>
      <c r="H18" s="31" t="b">
        <v>0</v>
      </c>
      <c r="I18" s="31" t="b">
        <v>0</v>
      </c>
      <c r="J18" s="31" t="str">
        <v>No</v>
      </c>
      <c r="K18" s="31" t="str">
        <v>No</v>
      </c>
    </row>
    <row r="19" spans="2:11" x14ac:dyDescent="0.25">
      <c r="B19" s="20" t="s">
        <v>61</v>
      </c>
      <c r="C19" s="20" t="s">
        <v>68</v>
      </c>
      <c r="D19" s="20" t="s">
        <v>69</v>
      </c>
      <c r="E19" s="20">
        <v>25</v>
      </c>
      <c r="F19" s="20">
        <v>10</v>
      </c>
      <c r="G19" s="30">
        <f t="shared" si="0"/>
        <v>0.4</v>
      </c>
      <c r="H19" s="31" t="b">
        <v>0</v>
      </c>
      <c r="I19" s="31" t="b">
        <v>0</v>
      </c>
      <c r="J19" s="31" t="str">
        <v>No</v>
      </c>
      <c r="K19" s="31" t="str">
        <v>No</v>
      </c>
    </row>
    <row r="20" spans="2:11" x14ac:dyDescent="0.25">
      <c r="B20" s="20" t="s">
        <v>70</v>
      </c>
      <c r="C20" s="20" t="s">
        <v>62</v>
      </c>
      <c r="D20" s="20" t="s">
        <v>63</v>
      </c>
      <c r="E20" s="20">
        <v>25</v>
      </c>
      <c r="F20" s="20">
        <v>20</v>
      </c>
      <c r="G20" s="30">
        <f t="shared" si="0"/>
        <v>0.8</v>
      </c>
      <c r="H20" s="31" t="b">
        <v>1</v>
      </c>
      <c r="I20" s="31" t="b">
        <v>1</v>
      </c>
      <c r="J20" s="31" t="str">
        <v>Target Met</v>
      </c>
      <c r="K20" s="31" t="str">
        <v>Target Met</v>
      </c>
    </row>
    <row r="21" spans="2:11" x14ac:dyDescent="0.25">
      <c r="B21" s="20" t="s">
        <v>70</v>
      </c>
      <c r="C21" s="20" t="s">
        <v>64</v>
      </c>
      <c r="D21" s="20" t="s">
        <v>65</v>
      </c>
      <c r="E21" s="20">
        <v>25</v>
      </c>
      <c r="F21" s="20">
        <v>15</v>
      </c>
      <c r="G21" s="30">
        <f t="shared" si="0"/>
        <v>0.6</v>
      </c>
      <c r="H21" s="31" t="b">
        <v>0</v>
      </c>
      <c r="I21" s="31" t="b">
        <v>0</v>
      </c>
      <c r="J21" s="31" t="str">
        <v>No</v>
      </c>
      <c r="K21" s="31" t="str">
        <v>No</v>
      </c>
    </row>
    <row r="22" spans="2:11" x14ac:dyDescent="0.25">
      <c r="B22" s="20" t="s">
        <v>70</v>
      </c>
      <c r="C22" s="20" t="s">
        <v>66</v>
      </c>
      <c r="D22" s="20" t="s">
        <v>67</v>
      </c>
      <c r="E22" s="20">
        <v>25</v>
      </c>
      <c r="F22" s="20">
        <v>16</v>
      </c>
      <c r="G22" s="30">
        <f t="shared" si="0"/>
        <v>0.64</v>
      </c>
      <c r="H22" s="31" t="b">
        <v>0</v>
      </c>
      <c r="I22" s="31" t="b">
        <v>0</v>
      </c>
      <c r="J22" s="31" t="str">
        <v>No</v>
      </c>
      <c r="K22" s="31" t="str">
        <v>No</v>
      </c>
    </row>
    <row r="23" spans="2:11" x14ac:dyDescent="0.25">
      <c r="B23" s="20" t="s">
        <v>70</v>
      </c>
      <c r="C23" s="20" t="s">
        <v>68</v>
      </c>
      <c r="D23" s="20" t="s">
        <v>69</v>
      </c>
      <c r="E23" s="20">
        <v>25</v>
      </c>
      <c r="F23" s="20">
        <v>19</v>
      </c>
      <c r="G23" s="30">
        <f t="shared" si="0"/>
        <v>0.76</v>
      </c>
      <c r="H23" s="31" t="b">
        <v>1</v>
      </c>
      <c r="I23" s="31" t="b">
        <v>1</v>
      </c>
      <c r="J23" s="31" t="str">
        <v>Target Met</v>
      </c>
      <c r="K23" s="31" t="str">
        <v>Target Met</v>
      </c>
    </row>
    <row r="24" spans="2:11" x14ac:dyDescent="0.25">
      <c r="B24" s="20" t="s">
        <v>71</v>
      </c>
      <c r="C24" s="20" t="s">
        <v>62</v>
      </c>
      <c r="D24" s="20" t="s">
        <v>63</v>
      </c>
      <c r="E24" s="20">
        <v>25</v>
      </c>
      <c r="F24" s="20">
        <v>15</v>
      </c>
      <c r="G24" s="30">
        <f t="shared" si="0"/>
        <v>0.6</v>
      </c>
      <c r="H24" s="31" t="b">
        <v>0</v>
      </c>
      <c r="I24" s="31" t="b">
        <v>0</v>
      </c>
      <c r="J24" s="31" t="str">
        <v>No</v>
      </c>
      <c r="K24" s="31" t="str">
        <v>No</v>
      </c>
    </row>
    <row r="25" spans="2:11" x14ac:dyDescent="0.25">
      <c r="B25" s="20" t="s">
        <v>71</v>
      </c>
      <c r="C25" s="20" t="s">
        <v>64</v>
      </c>
      <c r="D25" s="20" t="s">
        <v>65</v>
      </c>
      <c r="E25" s="20">
        <v>25</v>
      </c>
      <c r="F25" s="20">
        <v>20</v>
      </c>
      <c r="G25" s="30">
        <f t="shared" si="0"/>
        <v>0.8</v>
      </c>
      <c r="H25" s="31" t="b">
        <v>1</v>
      </c>
      <c r="I25" s="31" t="b">
        <v>1</v>
      </c>
      <c r="J25" s="31" t="str">
        <v>Target Met</v>
      </c>
      <c r="K25" s="31" t="str">
        <v>Target Met</v>
      </c>
    </row>
    <row r="26" spans="2:11" x14ac:dyDescent="0.25">
      <c r="B26" s="20" t="s">
        <v>71</v>
      </c>
      <c r="C26" s="20" t="s">
        <v>66</v>
      </c>
      <c r="D26" s="20" t="s">
        <v>67</v>
      </c>
      <c r="E26" s="20">
        <v>25</v>
      </c>
      <c r="F26" s="20">
        <v>20</v>
      </c>
      <c r="G26" s="30">
        <f t="shared" si="0"/>
        <v>0.8</v>
      </c>
      <c r="H26" s="31" t="b">
        <v>1</v>
      </c>
      <c r="I26" s="31" t="b">
        <v>1</v>
      </c>
      <c r="J26" s="31" t="str">
        <v>Target Met</v>
      </c>
      <c r="K26" s="31" t="str">
        <v>Target Met</v>
      </c>
    </row>
    <row r="27" spans="2:11" x14ac:dyDescent="0.25">
      <c r="B27" s="20" t="s">
        <v>71</v>
      </c>
      <c r="C27" s="20" t="s">
        <v>68</v>
      </c>
      <c r="D27" s="20" t="s">
        <v>69</v>
      </c>
      <c r="E27" s="20">
        <v>25</v>
      </c>
      <c r="F27" s="20">
        <v>12</v>
      </c>
      <c r="G27" s="30">
        <f t="shared" si="0"/>
        <v>0.48</v>
      </c>
      <c r="H27" s="31" t="b">
        <v>0</v>
      </c>
      <c r="I27" s="31" t="b">
        <v>0</v>
      </c>
      <c r="J27" s="31" t="str">
        <v>No</v>
      </c>
      <c r="K27" s="31" t="str">
        <v>No</v>
      </c>
    </row>
    <row r="28" spans="2:11" x14ac:dyDescent="0.25">
      <c r="B28" s="20" t="s">
        <v>72</v>
      </c>
      <c r="C28" s="20" t="s">
        <v>62</v>
      </c>
      <c r="D28" s="20" t="s">
        <v>63</v>
      </c>
      <c r="E28" s="20">
        <v>25</v>
      </c>
      <c r="F28" s="20">
        <v>22</v>
      </c>
      <c r="G28" s="30">
        <f t="shared" si="0"/>
        <v>0.88</v>
      </c>
      <c r="H28" s="31" t="b">
        <v>1</v>
      </c>
      <c r="I28" s="31" t="b">
        <v>1</v>
      </c>
      <c r="J28" s="31" t="str">
        <v>Target Met</v>
      </c>
      <c r="K28" s="31" t="str">
        <v>Target Met</v>
      </c>
    </row>
    <row r="29" spans="2:11" x14ac:dyDescent="0.25">
      <c r="B29" s="20" t="s">
        <v>72</v>
      </c>
      <c r="C29" s="20" t="s">
        <v>64</v>
      </c>
      <c r="D29" s="20" t="s">
        <v>65</v>
      </c>
      <c r="E29" s="20">
        <v>25</v>
      </c>
      <c r="F29" s="20">
        <v>16</v>
      </c>
      <c r="G29" s="30">
        <f t="shared" si="0"/>
        <v>0.64</v>
      </c>
      <c r="H29" s="31" t="b">
        <v>0</v>
      </c>
      <c r="I29" s="31" t="b">
        <v>0</v>
      </c>
      <c r="J29" s="31" t="str">
        <v>No</v>
      </c>
      <c r="K29" s="31" t="str">
        <v>No</v>
      </c>
    </row>
    <row r="30" spans="2:11" x14ac:dyDescent="0.25">
      <c r="B30" s="20" t="s">
        <v>72</v>
      </c>
      <c r="C30" s="20" t="s">
        <v>66</v>
      </c>
      <c r="D30" s="20" t="s">
        <v>67</v>
      </c>
      <c r="E30" s="20">
        <v>25</v>
      </c>
      <c r="F30" s="20">
        <v>19</v>
      </c>
      <c r="G30" s="30">
        <f t="shared" si="0"/>
        <v>0.76</v>
      </c>
      <c r="H30" s="31" t="b">
        <v>1</v>
      </c>
      <c r="I30" s="31" t="b">
        <v>1</v>
      </c>
      <c r="J30" s="31" t="str">
        <v>Target Met</v>
      </c>
      <c r="K30" s="31" t="str">
        <v>Target Met</v>
      </c>
    </row>
    <row r="31" spans="2:11" x14ac:dyDescent="0.25">
      <c r="B31" s="20" t="s">
        <v>72</v>
      </c>
      <c r="C31" s="20" t="s">
        <v>68</v>
      </c>
      <c r="D31" s="20" t="s">
        <v>69</v>
      </c>
      <c r="E31" s="20">
        <v>25</v>
      </c>
      <c r="F31" s="20">
        <v>14</v>
      </c>
      <c r="G31" s="30">
        <f t="shared" si="0"/>
        <v>0.56000000000000005</v>
      </c>
      <c r="H31" s="31" t="b">
        <v>0</v>
      </c>
      <c r="I31" s="31" t="b">
        <v>0</v>
      </c>
      <c r="J31" s="31" t="str">
        <v>No</v>
      </c>
      <c r="K31" s="31" t="str">
        <v>No</v>
      </c>
    </row>
  </sheetData>
  <mergeCells count="7">
    <mergeCell ref="B9:K9"/>
    <mergeCell ref="B3:K3"/>
    <mergeCell ref="B4:K4"/>
    <mergeCell ref="B5:K5"/>
    <mergeCell ref="B6:K6"/>
    <mergeCell ref="B7:K7"/>
    <mergeCell ref="B8:K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81402-EA76-4327-9FA6-A7523E00CE0A}">
  <sheetPr>
    <tabColor rgb="FFFF0000"/>
  </sheetPr>
  <dimension ref="A2:M31"/>
  <sheetViews>
    <sheetView zoomScale="85" zoomScaleNormal="85" workbookViewId="0">
      <selection activeCell="G5" sqref="G5:G24"/>
    </sheetView>
  </sheetViews>
  <sheetFormatPr defaultColWidth="9.140625" defaultRowHeight="15" x14ac:dyDescent="0.25"/>
  <cols>
    <col min="1" max="1" width="2.42578125" customWidth="1"/>
    <col min="2" max="2" width="9.7109375" customWidth="1"/>
    <col min="3" max="3" width="7.140625" customWidth="1"/>
    <col min="5" max="5" width="11.85546875" bestFit="1" customWidth="1"/>
    <col min="6" max="6" width="11" bestFit="1" customWidth="1"/>
    <col min="7" max="7" width="10.42578125" customWidth="1"/>
    <col min="8" max="8" width="18.42578125" bestFit="1" customWidth="1"/>
    <col min="9" max="9" width="19.85546875" bestFit="1" customWidth="1"/>
    <col min="10" max="10" width="33.42578125" bestFit="1" customWidth="1"/>
    <col min="11" max="11" width="32.42578125" bestFit="1" customWidth="1"/>
  </cols>
  <sheetData>
    <row r="2" spans="1:13" x14ac:dyDescent="0.25">
      <c r="B2" s="16" t="s">
        <v>50</v>
      </c>
    </row>
    <row r="3" spans="1:13" ht="17.25" customHeight="1" x14ac:dyDescent="0.3">
      <c r="A3" s="23"/>
      <c r="B3" s="32" t="str">
        <f>"Create Boolean formula that will deliver TRUE or FALSE in cell "&amp;ADDRESS(ROW(H16),COLUMN(H16),4)&amp;" that spills to the rows below, and tests each '% Enrollment' number to see if it is "&amp;TEXT($F$13,"0.00%")&amp;" or above."</f>
        <v>Create Boolean formula that will deliver TRUE or FALSE in cell H16 that spills to the rows below, and tests each '% Enrollment' number to see if it is 70.00% or above.</v>
      </c>
      <c r="C3" s="32"/>
      <c r="D3" s="32"/>
      <c r="E3" s="32"/>
      <c r="F3" s="32"/>
      <c r="G3" s="32"/>
      <c r="H3" s="32"/>
      <c r="I3" s="32"/>
      <c r="J3" s="32"/>
      <c r="K3" s="32"/>
    </row>
    <row r="4" spans="1:13" ht="17.25" customHeight="1" x14ac:dyDescent="0.3">
      <c r="A4" s="23"/>
      <c r="B4" s="32" t="str">
        <f>"Create Boolean formula that will deliver TRUE or FALSE in cell "&amp;ADDRESS(ROW(I16),COLUMN(I16),4)&amp;" that spills to the rows below, and tests each '% Enrollment' number to see if it is past the hurdle of "&amp;TEXT($F$13,"0.00%")&amp;"."</f>
        <v>Create Boolean formula that will deliver TRUE or FALSE in cell I16 that spills to the rows below, and tests each '% Enrollment' number to see if it is past the hurdle of 70.00%.</v>
      </c>
      <c r="C4" s="32"/>
      <c r="D4" s="32"/>
      <c r="E4" s="32"/>
      <c r="F4" s="32"/>
      <c r="G4" s="32"/>
      <c r="H4" s="32"/>
      <c r="I4" s="32"/>
      <c r="J4" s="32"/>
      <c r="K4" s="32"/>
    </row>
    <row r="5" spans="1:13" ht="17.25" customHeight="1" x14ac:dyDescent="0.3">
      <c r="A5" s="23"/>
      <c r="B5" s="32" t="str">
        <f>"Use the IF function in cell "&amp;ADDRESS(ROW(J16),COLUMN(J16),4)&amp;" that spills to the rows below, and tests each '% Enrollment' number to see if it is "&amp;TEXT($F$13,"0.00%")&amp;" or above."</f>
        <v>Use the IF function in cell J16 that spills to the rows below, and tests each '% Enrollment' number to see if it is 70.00% or above.</v>
      </c>
      <c r="C5" s="32"/>
      <c r="D5" s="32"/>
      <c r="E5" s="32"/>
      <c r="F5" s="32"/>
      <c r="G5" s="32"/>
      <c r="H5" s="32"/>
      <c r="I5" s="32"/>
      <c r="J5" s="32"/>
      <c r="K5" s="32"/>
    </row>
    <row r="6" spans="1:13" ht="17.25" customHeight="1" x14ac:dyDescent="0.3">
      <c r="A6" s="23"/>
      <c r="B6" s="32" t="str">
        <f>"If it is "&amp;TEXT($F$13,"0.00%")&amp;" or above, the IF should deliver 'Target Met', otherwise 'No'."</f>
        <v>If it is 70.00% or above, the IF should deliver 'Target Met', otherwise 'No'.</v>
      </c>
      <c r="C6" s="32"/>
      <c r="D6" s="32"/>
      <c r="E6" s="32"/>
      <c r="F6" s="32"/>
      <c r="G6" s="32"/>
      <c r="H6" s="32"/>
      <c r="I6" s="32"/>
      <c r="J6" s="32"/>
      <c r="K6" s="32"/>
    </row>
    <row r="7" spans="1:13" ht="17.25" customHeight="1" x14ac:dyDescent="0.3">
      <c r="A7" s="23"/>
      <c r="B7" s="32" t="str">
        <f>"Use the IF function in cell "&amp;ADDRESS(ROW(K16),COLUMN(K16),4)&amp;" that spills to the rows below, and tests each '% Enrollment' number to see if it is past the hurdle of "&amp;TEXT($F$13,"0.00%")&amp;"."</f>
        <v>Use the IF function in cell K16 that spills to the rows below, and tests each '% Enrollment' number to see if it is past the hurdle of 70.00%.</v>
      </c>
      <c r="C7" s="32"/>
      <c r="D7" s="32"/>
      <c r="E7" s="32"/>
      <c r="F7" s="32"/>
      <c r="G7" s="32"/>
      <c r="H7" s="32"/>
      <c r="I7" s="32"/>
      <c r="J7" s="32"/>
      <c r="K7" s="32"/>
    </row>
    <row r="8" spans="1:13" ht="17.25" customHeight="1" x14ac:dyDescent="0.3">
      <c r="A8" s="23"/>
      <c r="B8" s="32" t="str">
        <f>"If it is past the hurdle of "&amp;TEXT($F$13,"0.00%")&amp;", the IF should deliver 'Target Met', otherwise 'No'."</f>
        <v>If it is past the hurdle of 70.00%, the IF should deliver 'Target Met', otherwise 'No'.</v>
      </c>
      <c r="C8" s="32"/>
      <c r="D8" s="32"/>
      <c r="E8" s="32"/>
      <c r="F8" s="32"/>
      <c r="G8" s="32"/>
      <c r="H8" s="32"/>
      <c r="I8" s="32"/>
      <c r="J8" s="32"/>
      <c r="K8" s="32"/>
    </row>
    <row r="9" spans="1:13" ht="17.25" customHeight="1" x14ac:dyDescent="0.3">
      <c r="A9" s="23"/>
      <c r="B9" s="32" t="s">
        <v>51</v>
      </c>
      <c r="C9" s="32"/>
      <c r="D9" s="32"/>
      <c r="E9" s="32"/>
      <c r="F9" s="32"/>
      <c r="G9" s="32"/>
      <c r="H9" s="32"/>
      <c r="I9" s="32"/>
      <c r="J9" s="32"/>
      <c r="K9" s="32"/>
    </row>
    <row r="11" spans="1:13" x14ac:dyDescent="0.25">
      <c r="H11" s="33" t="str">
        <f>TEXT($F$13,"0.00%")&amp;" included"</f>
        <v>70.00% included</v>
      </c>
      <c r="I11" s="33" t="str">
        <f>TEXT($F$13,"0.00%")&amp;" NOT included"</f>
        <v>70.00% NOT included</v>
      </c>
      <c r="J11" s="33" t="str">
        <f>TEXT($F$13,"0.00%")&amp;" included"</f>
        <v>70.00% included</v>
      </c>
      <c r="K11" s="33" t="str">
        <f>TEXT($F$13,"0.00%")&amp;" NOT included"</f>
        <v>70.00% NOT included</v>
      </c>
    </row>
    <row r="12" spans="1:13" x14ac:dyDescent="0.25">
      <c r="H12" s="34" t="str">
        <f>"Formula in cell "&amp;ADDRESS(ROW(H16),COLUMN(H16),4)&amp;":"</f>
        <v>Formula in cell H16:</v>
      </c>
      <c r="I12" s="34" t="str">
        <f>"Formula in cell "&amp;ADDRESS(ROW(I16),COLUMN(I16),4)&amp;":"</f>
        <v>Formula in cell I16:</v>
      </c>
      <c r="J12" s="34" t="str">
        <f>"Formula in cell "&amp;ADDRESS(ROW(J16),COLUMN(J16),4)&amp;":"</f>
        <v>Formula in cell J16:</v>
      </c>
      <c r="K12" s="34" t="str">
        <f>"Formula in cell "&amp;ADDRESS(ROW(K16),COLUMN(K16),4)&amp;":"</f>
        <v>Formula in cell K16:</v>
      </c>
    </row>
    <row r="13" spans="1:13" x14ac:dyDescent="0.25">
      <c r="E13" s="25" t="s">
        <v>52</v>
      </c>
      <c r="F13" s="26">
        <v>0.7</v>
      </c>
      <c r="H13" s="20" t="str">
        <f ca="1">_xlfn.IFNA(_xlfn.FORMULATEXT(H16),"")</f>
        <v>=G16:G31&gt;=F13</v>
      </c>
      <c r="I13" s="20" t="str">
        <f ca="1">_xlfn.IFNA(_xlfn.FORMULATEXT(I16),"")</f>
        <v>=G16:G31&gt;F13</v>
      </c>
      <c r="J13" s="20" t="str">
        <f ca="1">_xlfn.IFNA(_xlfn.FORMULATEXT(J16),"")</f>
        <v>=IF(G16:G31&gt;=F13,"Target Met","No")</v>
      </c>
      <c r="K13" s="20" t="str">
        <f ca="1">_xlfn.IFNA(_xlfn.FORMULATEXT(K16),"")</f>
        <v>=IF(G16:G31&gt;F13,"Target Met","No")</v>
      </c>
    </row>
    <row r="15" spans="1:13" ht="30" x14ac:dyDescent="0.25">
      <c r="B15" s="28" t="s">
        <v>53</v>
      </c>
      <c r="C15" s="28" t="s">
        <v>54</v>
      </c>
      <c r="D15" s="28" t="s">
        <v>55</v>
      </c>
      <c r="E15" s="28" t="s">
        <v>56</v>
      </c>
      <c r="F15" s="28" t="s">
        <v>57</v>
      </c>
      <c r="G15" s="28" t="s">
        <v>58</v>
      </c>
      <c r="H15" s="29" t="s">
        <v>59</v>
      </c>
      <c r="I15" s="29" t="s">
        <v>59</v>
      </c>
      <c r="J15" s="29" t="s">
        <v>60</v>
      </c>
      <c r="K15" s="29" t="s">
        <v>60</v>
      </c>
    </row>
    <row r="16" spans="1:13" x14ac:dyDescent="0.25">
      <c r="B16" s="20" t="s">
        <v>61</v>
      </c>
      <c r="C16" s="20" t="s">
        <v>62</v>
      </c>
      <c r="D16" s="20" t="s">
        <v>63</v>
      </c>
      <c r="E16" s="20">
        <v>30</v>
      </c>
      <c r="F16" s="20">
        <v>21</v>
      </c>
      <c r="G16" s="35">
        <f t="shared" ref="G16:G31" si="0">F16/E16</f>
        <v>0.7</v>
      </c>
      <c r="H16" s="31" t="b" cm="1">
        <f t="array" ref="H16:H31">G16:G31&gt;=F13</f>
        <v>1</v>
      </c>
      <c r="I16" s="31" t="b" cm="1">
        <f t="array" ref="I16:I31">G16:G31&gt;F13</f>
        <v>0</v>
      </c>
      <c r="J16" s="31" t="str" cm="1">
        <f t="array" ref="J16:J31">IF(G16:G31&gt;=F13,"Target Met","No")</f>
        <v>Target Met</v>
      </c>
      <c r="K16" s="31" t="str" cm="1">
        <f t="array" ref="K16:K31">IF(G16:G31&gt;F13,"Target Met","No")</f>
        <v>No</v>
      </c>
      <c r="M16" t="str" cm="1">
        <f t="array" aca="1" ref="M16:M19" ca="1">_xlfn.TOCOL(_xlfn.FORMULATEXT(H16:K16))</f>
        <v>=G16:G31&gt;=F13</v>
      </c>
    </row>
    <row r="17" spans="2:13" x14ac:dyDescent="0.25">
      <c r="B17" s="20" t="s">
        <v>61</v>
      </c>
      <c r="C17" s="20" t="s">
        <v>64</v>
      </c>
      <c r="D17" s="20" t="s">
        <v>65</v>
      </c>
      <c r="E17" s="20">
        <v>30</v>
      </c>
      <c r="F17" s="20">
        <v>21</v>
      </c>
      <c r="G17" s="35">
        <f t="shared" si="0"/>
        <v>0.7</v>
      </c>
      <c r="H17" s="31" t="b">
        <v>1</v>
      </c>
      <c r="I17" s="31" t="b">
        <v>0</v>
      </c>
      <c r="J17" s="31" t="str">
        <v>Target Met</v>
      </c>
      <c r="K17" s="31" t="str">
        <v>No</v>
      </c>
      <c r="M17" t="str">
        <f ca="1"/>
        <v>=G16:G31&gt;F13</v>
      </c>
    </row>
    <row r="18" spans="2:13" x14ac:dyDescent="0.25">
      <c r="B18" s="20" t="s">
        <v>61</v>
      </c>
      <c r="C18" s="20" t="s">
        <v>66</v>
      </c>
      <c r="D18" s="20" t="s">
        <v>67</v>
      </c>
      <c r="E18" s="20">
        <v>25</v>
      </c>
      <c r="F18" s="20">
        <v>12</v>
      </c>
      <c r="G18" s="35">
        <f t="shared" si="0"/>
        <v>0.48</v>
      </c>
      <c r="H18" s="31" t="b">
        <v>0</v>
      </c>
      <c r="I18" s="31" t="b">
        <v>0</v>
      </c>
      <c r="J18" s="31" t="str">
        <v>No</v>
      </c>
      <c r="K18" s="31" t="str">
        <v>No</v>
      </c>
      <c r="M18" t="str">
        <f ca="1"/>
        <v>=IF(G16:G31&gt;=F13,"Target Met","No")</v>
      </c>
    </row>
    <row r="19" spans="2:13" x14ac:dyDescent="0.25">
      <c r="B19" s="20" t="s">
        <v>61</v>
      </c>
      <c r="C19" s="20" t="s">
        <v>68</v>
      </c>
      <c r="D19" s="20" t="s">
        <v>69</v>
      </c>
      <c r="E19" s="20">
        <v>25</v>
      </c>
      <c r="F19" s="20">
        <v>10</v>
      </c>
      <c r="G19" s="35">
        <f t="shared" si="0"/>
        <v>0.4</v>
      </c>
      <c r="H19" s="31" t="b">
        <v>0</v>
      </c>
      <c r="I19" s="31" t="b">
        <v>0</v>
      </c>
      <c r="J19" s="31" t="str">
        <v>No</v>
      </c>
      <c r="K19" s="31" t="str">
        <v>No</v>
      </c>
      <c r="M19" t="str">
        <f ca="1"/>
        <v>=IF(G16:G31&gt;F13,"Target Met","No")</v>
      </c>
    </row>
    <row r="20" spans="2:13" x14ac:dyDescent="0.25">
      <c r="B20" s="20" t="s">
        <v>70</v>
      </c>
      <c r="C20" s="20" t="s">
        <v>62</v>
      </c>
      <c r="D20" s="20" t="s">
        <v>63</v>
      </c>
      <c r="E20" s="20">
        <v>25</v>
      </c>
      <c r="F20" s="20">
        <v>20</v>
      </c>
      <c r="G20" s="35">
        <f t="shared" si="0"/>
        <v>0.8</v>
      </c>
      <c r="H20" s="31" t="b">
        <v>1</v>
      </c>
      <c r="I20" s="31" t="b">
        <v>1</v>
      </c>
      <c r="J20" s="31" t="str">
        <v>Target Met</v>
      </c>
      <c r="K20" s="31" t="str">
        <v>Target Met</v>
      </c>
    </row>
    <row r="21" spans="2:13" x14ac:dyDescent="0.25">
      <c r="B21" s="20" t="s">
        <v>70</v>
      </c>
      <c r="C21" s="20" t="s">
        <v>64</v>
      </c>
      <c r="D21" s="20" t="s">
        <v>65</v>
      </c>
      <c r="E21" s="20">
        <v>25</v>
      </c>
      <c r="F21" s="20">
        <v>15</v>
      </c>
      <c r="G21" s="35">
        <f t="shared" si="0"/>
        <v>0.6</v>
      </c>
      <c r="H21" s="31" t="b">
        <v>0</v>
      </c>
      <c r="I21" s="31" t="b">
        <v>0</v>
      </c>
      <c r="J21" s="31" t="str">
        <v>No</v>
      </c>
      <c r="K21" s="31" t="str">
        <v>No</v>
      </c>
    </row>
    <row r="22" spans="2:13" x14ac:dyDescent="0.25">
      <c r="B22" s="20" t="s">
        <v>70</v>
      </c>
      <c r="C22" s="20" t="s">
        <v>66</v>
      </c>
      <c r="D22" s="20" t="s">
        <v>67</v>
      </c>
      <c r="E22" s="20">
        <v>25</v>
      </c>
      <c r="F22" s="20">
        <v>16</v>
      </c>
      <c r="G22" s="35">
        <f t="shared" si="0"/>
        <v>0.64</v>
      </c>
      <c r="H22" s="31" t="b">
        <v>0</v>
      </c>
      <c r="I22" s="31" t="b">
        <v>0</v>
      </c>
      <c r="J22" s="31" t="str">
        <v>No</v>
      </c>
      <c r="K22" s="31" t="str">
        <v>No</v>
      </c>
    </row>
    <row r="23" spans="2:13" x14ac:dyDescent="0.25">
      <c r="B23" s="20" t="s">
        <v>70</v>
      </c>
      <c r="C23" s="20" t="s">
        <v>68</v>
      </c>
      <c r="D23" s="20" t="s">
        <v>69</v>
      </c>
      <c r="E23" s="20">
        <v>25</v>
      </c>
      <c r="F23" s="20">
        <v>19</v>
      </c>
      <c r="G23" s="35">
        <f t="shared" si="0"/>
        <v>0.76</v>
      </c>
      <c r="H23" s="31" t="b">
        <v>1</v>
      </c>
      <c r="I23" s="31" t="b">
        <v>1</v>
      </c>
      <c r="J23" s="31" t="str">
        <v>Target Met</v>
      </c>
      <c r="K23" s="31" t="str">
        <v>Target Met</v>
      </c>
    </row>
    <row r="24" spans="2:13" x14ac:dyDescent="0.25">
      <c r="B24" s="20" t="s">
        <v>71</v>
      </c>
      <c r="C24" s="20" t="s">
        <v>62</v>
      </c>
      <c r="D24" s="20" t="s">
        <v>63</v>
      </c>
      <c r="E24" s="20">
        <v>25</v>
      </c>
      <c r="F24" s="20">
        <v>15</v>
      </c>
      <c r="G24" s="35">
        <f t="shared" si="0"/>
        <v>0.6</v>
      </c>
      <c r="H24" s="31" t="b">
        <v>0</v>
      </c>
      <c r="I24" s="31" t="b">
        <v>0</v>
      </c>
      <c r="J24" s="31" t="str">
        <v>No</v>
      </c>
      <c r="K24" s="31" t="str">
        <v>No</v>
      </c>
    </row>
    <row r="25" spans="2:13" x14ac:dyDescent="0.25">
      <c r="B25" s="20" t="s">
        <v>71</v>
      </c>
      <c r="C25" s="20" t="s">
        <v>64</v>
      </c>
      <c r="D25" s="20" t="s">
        <v>65</v>
      </c>
      <c r="E25" s="20">
        <v>25</v>
      </c>
      <c r="F25" s="20">
        <v>20</v>
      </c>
      <c r="G25" s="35">
        <f t="shared" si="0"/>
        <v>0.8</v>
      </c>
      <c r="H25" s="31" t="b">
        <v>1</v>
      </c>
      <c r="I25" s="31" t="b">
        <v>1</v>
      </c>
      <c r="J25" s="31" t="str">
        <v>Target Met</v>
      </c>
      <c r="K25" s="31" t="str">
        <v>Target Met</v>
      </c>
    </row>
    <row r="26" spans="2:13" x14ac:dyDescent="0.25">
      <c r="B26" s="20" t="s">
        <v>71</v>
      </c>
      <c r="C26" s="20" t="s">
        <v>66</v>
      </c>
      <c r="D26" s="20" t="s">
        <v>67</v>
      </c>
      <c r="E26" s="20">
        <v>25</v>
      </c>
      <c r="F26" s="20">
        <v>20</v>
      </c>
      <c r="G26" s="35">
        <f t="shared" si="0"/>
        <v>0.8</v>
      </c>
      <c r="H26" s="31" t="b">
        <v>1</v>
      </c>
      <c r="I26" s="31" t="b">
        <v>1</v>
      </c>
      <c r="J26" s="31" t="str">
        <v>Target Met</v>
      </c>
      <c r="K26" s="31" t="str">
        <v>Target Met</v>
      </c>
    </row>
    <row r="27" spans="2:13" x14ac:dyDescent="0.25">
      <c r="B27" s="20" t="s">
        <v>71</v>
      </c>
      <c r="C27" s="20" t="s">
        <v>68</v>
      </c>
      <c r="D27" s="20" t="s">
        <v>69</v>
      </c>
      <c r="E27" s="20">
        <v>25</v>
      </c>
      <c r="F27" s="20">
        <v>12</v>
      </c>
      <c r="G27" s="35">
        <f t="shared" si="0"/>
        <v>0.48</v>
      </c>
      <c r="H27" s="31" t="b">
        <v>0</v>
      </c>
      <c r="I27" s="31" t="b">
        <v>0</v>
      </c>
      <c r="J27" s="31" t="str">
        <v>No</v>
      </c>
      <c r="K27" s="31" t="str">
        <v>No</v>
      </c>
    </row>
    <row r="28" spans="2:13" x14ac:dyDescent="0.25">
      <c r="B28" s="20" t="s">
        <v>72</v>
      </c>
      <c r="C28" s="20" t="s">
        <v>62</v>
      </c>
      <c r="D28" s="20" t="s">
        <v>63</v>
      </c>
      <c r="E28" s="20">
        <v>25</v>
      </c>
      <c r="F28" s="20">
        <v>22</v>
      </c>
      <c r="G28" s="35">
        <f t="shared" si="0"/>
        <v>0.88</v>
      </c>
      <c r="H28" s="31" t="b">
        <v>1</v>
      </c>
      <c r="I28" s="31" t="b">
        <v>1</v>
      </c>
      <c r="J28" s="31" t="str">
        <v>Target Met</v>
      </c>
      <c r="K28" s="31" t="str">
        <v>Target Met</v>
      </c>
    </row>
    <row r="29" spans="2:13" x14ac:dyDescent="0.25">
      <c r="B29" s="20" t="s">
        <v>72</v>
      </c>
      <c r="C29" s="20" t="s">
        <v>64</v>
      </c>
      <c r="D29" s="20" t="s">
        <v>65</v>
      </c>
      <c r="E29" s="20">
        <v>25</v>
      </c>
      <c r="F29" s="20">
        <v>16</v>
      </c>
      <c r="G29" s="35">
        <f t="shared" si="0"/>
        <v>0.64</v>
      </c>
      <c r="H29" s="31" t="b">
        <v>0</v>
      </c>
      <c r="I29" s="31" t="b">
        <v>0</v>
      </c>
      <c r="J29" s="31" t="str">
        <v>No</v>
      </c>
      <c r="K29" s="31" t="str">
        <v>No</v>
      </c>
    </row>
    <row r="30" spans="2:13" x14ac:dyDescent="0.25">
      <c r="B30" s="20" t="s">
        <v>72</v>
      </c>
      <c r="C30" s="20" t="s">
        <v>66</v>
      </c>
      <c r="D30" s="20" t="s">
        <v>67</v>
      </c>
      <c r="E30" s="20">
        <v>25</v>
      </c>
      <c r="F30" s="20">
        <v>19</v>
      </c>
      <c r="G30" s="35">
        <f t="shared" si="0"/>
        <v>0.76</v>
      </c>
      <c r="H30" s="31" t="b">
        <v>1</v>
      </c>
      <c r="I30" s="31" t="b">
        <v>1</v>
      </c>
      <c r="J30" s="31" t="str">
        <v>Target Met</v>
      </c>
      <c r="K30" s="31" t="str">
        <v>Target Met</v>
      </c>
    </row>
    <row r="31" spans="2:13" x14ac:dyDescent="0.25">
      <c r="B31" s="20" t="s">
        <v>72</v>
      </c>
      <c r="C31" s="20" t="s">
        <v>68</v>
      </c>
      <c r="D31" s="20" t="s">
        <v>69</v>
      </c>
      <c r="E31" s="20">
        <v>25</v>
      </c>
      <c r="F31" s="20">
        <v>14</v>
      </c>
      <c r="G31" s="35">
        <f t="shared" si="0"/>
        <v>0.56000000000000005</v>
      </c>
      <c r="H31" s="31" t="b">
        <v>0</v>
      </c>
      <c r="I31" s="31" t="b">
        <v>0</v>
      </c>
      <c r="J31" s="31" t="str">
        <v>No</v>
      </c>
      <c r="K31" s="31" t="str">
        <v>No</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6ACF0-E9F9-4E96-828B-8AB0E6468D95}">
  <sheetPr>
    <tabColor rgb="FF0000FF"/>
  </sheetPr>
  <dimension ref="B2:K32"/>
  <sheetViews>
    <sheetView topLeftCell="A4" zoomScale="160" zoomScaleNormal="160" workbookViewId="0">
      <selection activeCell="G5" sqref="G5:G24"/>
    </sheetView>
  </sheetViews>
  <sheetFormatPr defaultRowHeight="15" x14ac:dyDescent="0.25"/>
  <cols>
    <col min="1" max="1" width="3" customWidth="1"/>
    <col min="2" max="2" width="10.85546875" customWidth="1"/>
    <col min="4" max="4" width="10.42578125" bestFit="1" customWidth="1"/>
    <col min="5" max="5" width="13.28515625" bestFit="1" customWidth="1"/>
    <col min="6" max="6" width="8.7109375" customWidth="1"/>
    <col min="9" max="10" width="11.42578125" customWidth="1"/>
    <col min="11" max="11" width="13" customWidth="1"/>
  </cols>
  <sheetData>
    <row r="2" spans="2:11" x14ac:dyDescent="0.25">
      <c r="B2" s="16" t="s">
        <v>50</v>
      </c>
    </row>
    <row r="3" spans="2:11" x14ac:dyDescent="0.25">
      <c r="B3" t="s">
        <v>73</v>
      </c>
    </row>
    <row r="4" spans="2:11" x14ac:dyDescent="0.25">
      <c r="B4" t="s">
        <v>74</v>
      </c>
    </row>
    <row r="5" spans="2:11" x14ac:dyDescent="0.25">
      <c r="B5" t="s">
        <v>75</v>
      </c>
    </row>
    <row r="6" spans="2:11" x14ac:dyDescent="0.25">
      <c r="B6" t="s">
        <v>76</v>
      </c>
    </row>
    <row r="7" spans="2:11" x14ac:dyDescent="0.25">
      <c r="B7" s="36" t="s">
        <v>77</v>
      </c>
    </row>
    <row r="8" spans="2:11" x14ac:dyDescent="0.25">
      <c r="B8" s="36" t="s">
        <v>78</v>
      </c>
    </row>
    <row r="10" spans="2:11" x14ac:dyDescent="0.25">
      <c r="H10" s="16" t="s">
        <v>79</v>
      </c>
    </row>
    <row r="12" spans="2:11" x14ac:dyDescent="0.25">
      <c r="B12" s="37" t="s">
        <v>34</v>
      </c>
      <c r="C12" s="37" t="s">
        <v>80</v>
      </c>
      <c r="D12" s="37" t="s">
        <v>81</v>
      </c>
      <c r="E12" s="37" t="s">
        <v>82</v>
      </c>
      <c r="H12" s="37" t="s">
        <v>83</v>
      </c>
      <c r="I12" s="37" t="s">
        <v>84</v>
      </c>
      <c r="J12" s="37" t="s">
        <v>85</v>
      </c>
      <c r="K12" s="37" t="s">
        <v>86</v>
      </c>
    </row>
    <row r="13" spans="2:11" x14ac:dyDescent="0.25">
      <c r="B13" s="38">
        <v>45347</v>
      </c>
      <c r="C13" s="39">
        <v>2397.7199999999998</v>
      </c>
      <c r="D13" s="31" t="b" cm="1">
        <f t="array" ref="D13:D32">ISTEXT(B13:B32)</f>
        <v>0</v>
      </c>
      <c r="E13" s="31" t="b" cm="1">
        <f t="array" ref="E13:E32">ISTEXT(C13:C32)</f>
        <v>0</v>
      </c>
      <c r="H13" s="20" t="s">
        <v>87</v>
      </c>
      <c r="I13" s="19">
        <v>45292</v>
      </c>
      <c r="J13" s="19">
        <v>45322</v>
      </c>
      <c r="K13" s="40" cm="1">
        <f t="array" ref="K13:K15">SUMIFS(C13:C32,B13:B32,"&gt;="&amp;I13:I15,B13:B32,"&lt;="&amp;J13:J15)</f>
        <v>9000.4500000000007</v>
      </c>
    </row>
    <row r="14" spans="2:11" x14ac:dyDescent="0.25">
      <c r="B14" s="41">
        <v>45300</v>
      </c>
      <c r="C14" s="42">
        <v>2275.96</v>
      </c>
      <c r="D14" s="31" t="b">
        <v>0</v>
      </c>
      <c r="E14" s="31" t="b">
        <v>0</v>
      </c>
      <c r="H14" s="20" t="s">
        <v>88</v>
      </c>
      <c r="I14" s="19">
        <v>45323</v>
      </c>
      <c r="J14" s="19">
        <v>45350</v>
      </c>
      <c r="K14" s="40">
        <v>11600.710000000001</v>
      </c>
    </row>
    <row r="15" spans="2:11" x14ac:dyDescent="0.25">
      <c r="B15" s="38">
        <v>45366</v>
      </c>
      <c r="C15" s="39">
        <v>951.94</v>
      </c>
      <c r="D15" s="31" t="b">
        <v>0</v>
      </c>
      <c r="E15" s="31" t="b">
        <v>0</v>
      </c>
      <c r="H15" s="20" t="s">
        <v>89</v>
      </c>
      <c r="I15" s="19">
        <v>45352</v>
      </c>
      <c r="J15" s="19">
        <v>45382</v>
      </c>
      <c r="K15" s="40">
        <v>5669.85</v>
      </c>
    </row>
    <row r="16" spans="2:11" x14ac:dyDescent="0.25">
      <c r="B16" s="38">
        <v>45336</v>
      </c>
      <c r="C16" s="39">
        <v>831.47</v>
      </c>
      <c r="D16" s="31" t="b">
        <v>0</v>
      </c>
      <c r="E16" s="31" t="b">
        <v>0</v>
      </c>
    </row>
    <row r="17" spans="2:5" x14ac:dyDescent="0.25">
      <c r="B17" s="38">
        <v>45325</v>
      </c>
      <c r="C17" s="39">
        <v>1027.7</v>
      </c>
      <c r="D17" s="31" t="b">
        <v>0</v>
      </c>
      <c r="E17" s="31" t="b">
        <v>0</v>
      </c>
    </row>
    <row r="18" spans="2:5" x14ac:dyDescent="0.25">
      <c r="B18" s="38">
        <v>45344</v>
      </c>
      <c r="C18" s="39">
        <v>2340.61</v>
      </c>
      <c r="D18" s="31" t="b">
        <v>0</v>
      </c>
      <c r="E18" s="31" t="b">
        <v>0</v>
      </c>
    </row>
    <row r="19" spans="2:5" x14ac:dyDescent="0.25">
      <c r="B19" s="41">
        <v>45315</v>
      </c>
      <c r="C19" s="42">
        <v>1145.44</v>
      </c>
      <c r="D19" s="31" t="b">
        <v>0</v>
      </c>
      <c r="E19" s="31" t="b">
        <v>0</v>
      </c>
    </row>
    <row r="20" spans="2:5" x14ac:dyDescent="0.25">
      <c r="B20" s="38">
        <v>45372</v>
      </c>
      <c r="C20" s="39">
        <v>1783.27</v>
      </c>
      <c r="D20" s="31" t="b">
        <v>0</v>
      </c>
      <c r="E20" s="31" t="b">
        <v>0</v>
      </c>
    </row>
    <row r="21" spans="2:5" x14ac:dyDescent="0.25">
      <c r="B21" s="38">
        <v>45350</v>
      </c>
      <c r="C21" s="39">
        <v>1739.27</v>
      </c>
      <c r="D21" s="31" t="b">
        <v>0</v>
      </c>
      <c r="E21" s="31" t="b">
        <v>0</v>
      </c>
    </row>
    <row r="22" spans="2:5" x14ac:dyDescent="0.25">
      <c r="B22" s="41">
        <v>45321</v>
      </c>
      <c r="C22" s="42">
        <v>1821.05</v>
      </c>
      <c r="D22" s="31" t="b">
        <v>0</v>
      </c>
      <c r="E22" s="31" t="b">
        <v>0</v>
      </c>
    </row>
    <row r="23" spans="2:5" x14ac:dyDescent="0.25">
      <c r="B23" s="41">
        <v>45294</v>
      </c>
      <c r="C23" s="42">
        <v>637.39</v>
      </c>
      <c r="D23" s="31" t="b">
        <v>0</v>
      </c>
      <c r="E23" s="31" t="b">
        <v>0</v>
      </c>
    </row>
    <row r="24" spans="2:5" x14ac:dyDescent="0.25">
      <c r="B24" s="38">
        <v>45323</v>
      </c>
      <c r="C24" s="39">
        <v>2134.7199999999998</v>
      </c>
      <c r="D24" s="31" t="b">
        <v>0</v>
      </c>
      <c r="E24" s="31" t="b">
        <v>0</v>
      </c>
    </row>
    <row r="25" spans="2:5" x14ac:dyDescent="0.25">
      <c r="B25" s="38">
        <v>45341</v>
      </c>
      <c r="C25" s="39">
        <v>843.78</v>
      </c>
      <c r="D25" s="31" t="b">
        <v>0</v>
      </c>
      <c r="E25" s="31" t="b">
        <v>0</v>
      </c>
    </row>
    <row r="26" spans="2:5" x14ac:dyDescent="0.25">
      <c r="B26" s="41">
        <v>45304</v>
      </c>
      <c r="C26" s="42">
        <v>516.67999999999995</v>
      </c>
      <c r="D26" s="31" t="b">
        <v>0</v>
      </c>
      <c r="E26" s="31" t="b">
        <v>0</v>
      </c>
    </row>
    <row r="27" spans="2:5" x14ac:dyDescent="0.25">
      <c r="B27" s="41">
        <v>45319</v>
      </c>
      <c r="C27" s="42">
        <v>2438.9299999999998</v>
      </c>
      <c r="D27" s="31" t="b">
        <v>0</v>
      </c>
      <c r="E27" s="31" t="b">
        <v>0</v>
      </c>
    </row>
    <row r="28" spans="2:5" x14ac:dyDescent="0.25">
      <c r="B28" s="38">
        <v>45351</v>
      </c>
      <c r="C28" s="39">
        <v>1180.1099999999999</v>
      </c>
      <c r="D28" s="31" t="b">
        <v>0</v>
      </c>
      <c r="E28" s="31" t="b">
        <v>0</v>
      </c>
    </row>
    <row r="29" spans="2:5" x14ac:dyDescent="0.25">
      <c r="B29" s="41">
        <v>45352</v>
      </c>
      <c r="C29" s="42">
        <v>1279.0899999999999</v>
      </c>
      <c r="D29" s="31" t="b">
        <v>0</v>
      </c>
      <c r="E29" s="31" t="b">
        <v>0</v>
      </c>
    </row>
    <row r="30" spans="2:5" x14ac:dyDescent="0.25">
      <c r="B30" s="38">
        <v>45343</v>
      </c>
      <c r="C30" s="39">
        <v>285.44</v>
      </c>
      <c r="D30" s="31" t="b">
        <v>0</v>
      </c>
      <c r="E30" s="31" t="b">
        <v>0</v>
      </c>
    </row>
    <row r="31" spans="2:5" x14ac:dyDescent="0.25">
      <c r="B31" s="38">
        <v>45363</v>
      </c>
      <c r="C31" s="39">
        <v>1655.55</v>
      </c>
      <c r="D31" s="31" t="b">
        <v>0</v>
      </c>
      <c r="E31" s="31" t="b">
        <v>0</v>
      </c>
    </row>
    <row r="32" spans="2:5" x14ac:dyDescent="0.25">
      <c r="B32" s="41">
        <v>45301</v>
      </c>
      <c r="C32" s="42">
        <v>165</v>
      </c>
      <c r="D32" s="31" t="b">
        <v>0</v>
      </c>
      <c r="E32" s="31" t="b">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A4C78-957C-4847-89C7-DC7F5415A23A}">
  <sheetPr>
    <tabColor rgb="FFFF0000"/>
  </sheetPr>
  <dimension ref="B2:K32"/>
  <sheetViews>
    <sheetView zoomScaleNormal="100" workbookViewId="0">
      <selection activeCell="G5" sqref="G5:G24"/>
    </sheetView>
  </sheetViews>
  <sheetFormatPr defaultRowHeight="15" x14ac:dyDescent="0.25"/>
  <cols>
    <col min="1" max="1" width="3" customWidth="1"/>
    <col min="2" max="2" width="10.85546875" customWidth="1"/>
    <col min="4" max="4" width="10.42578125" bestFit="1" customWidth="1"/>
    <col min="5" max="5" width="13.28515625" bestFit="1" customWidth="1"/>
    <col min="6" max="6" width="8.7109375" customWidth="1"/>
    <col min="9" max="10" width="11.42578125" customWidth="1"/>
    <col min="11" max="11" width="13" customWidth="1"/>
  </cols>
  <sheetData>
    <row r="2" spans="2:11" x14ac:dyDescent="0.25">
      <c r="B2" s="16" t="s">
        <v>50</v>
      </c>
    </row>
    <row r="3" spans="2:11" x14ac:dyDescent="0.25">
      <c r="B3" t="s">
        <v>73</v>
      </c>
    </row>
    <row r="4" spans="2:11" x14ac:dyDescent="0.25">
      <c r="B4" t="s">
        <v>74</v>
      </c>
    </row>
    <row r="5" spans="2:11" x14ac:dyDescent="0.25">
      <c r="B5" t="s">
        <v>75</v>
      </c>
    </row>
    <row r="6" spans="2:11" x14ac:dyDescent="0.25">
      <c r="B6" t="s">
        <v>76</v>
      </c>
    </row>
    <row r="7" spans="2:11" x14ac:dyDescent="0.25">
      <c r="B7" s="36" t="s">
        <v>77</v>
      </c>
    </row>
    <row r="8" spans="2:11" x14ac:dyDescent="0.25">
      <c r="B8" s="36" t="s">
        <v>78</v>
      </c>
    </row>
    <row r="10" spans="2:11" x14ac:dyDescent="0.25">
      <c r="H10" s="16" t="s">
        <v>79</v>
      </c>
    </row>
    <row r="12" spans="2:11" x14ac:dyDescent="0.25">
      <c r="B12" s="37" t="s">
        <v>34</v>
      </c>
      <c r="C12" s="37" t="s">
        <v>80</v>
      </c>
      <c r="D12" s="37" t="s">
        <v>81</v>
      </c>
      <c r="E12" s="37" t="s">
        <v>82</v>
      </c>
      <c r="H12" s="37" t="s">
        <v>83</v>
      </c>
      <c r="I12" s="37" t="s">
        <v>84</v>
      </c>
      <c r="J12" s="37" t="s">
        <v>85</v>
      </c>
      <c r="K12" s="37" t="s">
        <v>86</v>
      </c>
    </row>
    <row r="13" spans="2:11" x14ac:dyDescent="0.25">
      <c r="B13" s="38">
        <v>45347</v>
      </c>
      <c r="C13" s="39">
        <v>2397.7199999999998</v>
      </c>
      <c r="D13" s="31" t="b" cm="1">
        <f t="array" ref="D13:E32">ISNUMBER(B13:C32)</f>
        <v>1</v>
      </c>
      <c r="E13" s="31" t="b">
        <v>1</v>
      </c>
      <c r="H13" s="20" t="s">
        <v>87</v>
      </c>
      <c r="I13" s="19">
        <v>45292</v>
      </c>
      <c r="J13" s="19">
        <v>45322</v>
      </c>
      <c r="K13" s="40" cm="1">
        <f t="array" ref="K13:K15">SUMIFS(C13:C32,B13:B32,"&gt;="&amp;I13:I15,B13:B32,"&lt;="&amp;J13:J15)</f>
        <v>9000.4500000000007</v>
      </c>
    </row>
    <row r="14" spans="2:11" x14ac:dyDescent="0.25">
      <c r="B14" s="41">
        <v>45300</v>
      </c>
      <c r="C14" s="42">
        <v>2275.96</v>
      </c>
      <c r="D14" s="31" t="b">
        <v>1</v>
      </c>
      <c r="E14" s="31" t="b">
        <v>1</v>
      </c>
      <c r="H14" s="20" t="s">
        <v>88</v>
      </c>
      <c r="I14" s="19">
        <v>45323</v>
      </c>
      <c r="J14" s="19">
        <v>45350</v>
      </c>
      <c r="K14" s="40">
        <v>11600.710000000001</v>
      </c>
    </row>
    <row r="15" spans="2:11" x14ac:dyDescent="0.25">
      <c r="B15" s="38">
        <v>45366</v>
      </c>
      <c r="C15" s="39">
        <v>951.94</v>
      </c>
      <c r="D15" s="31" t="b">
        <v>1</v>
      </c>
      <c r="E15" s="31" t="b">
        <v>1</v>
      </c>
      <c r="H15" s="20" t="s">
        <v>89</v>
      </c>
      <c r="I15" s="19">
        <v>45352</v>
      </c>
      <c r="J15" s="19">
        <v>45382</v>
      </c>
      <c r="K15" s="40">
        <v>5669.85</v>
      </c>
    </row>
    <row r="16" spans="2:11" x14ac:dyDescent="0.25">
      <c r="B16" s="38">
        <v>45336</v>
      </c>
      <c r="C16" s="39">
        <v>831.47</v>
      </c>
      <c r="D16" s="31" t="b">
        <v>1</v>
      </c>
      <c r="E16" s="31" t="b">
        <v>1</v>
      </c>
    </row>
    <row r="17" spans="2:8" x14ac:dyDescent="0.25">
      <c r="B17" s="38">
        <v>45325</v>
      </c>
      <c r="C17" s="39">
        <v>1027.7</v>
      </c>
      <c r="D17" s="31" t="b">
        <v>1</v>
      </c>
      <c r="E17" s="31" t="b">
        <v>1</v>
      </c>
    </row>
    <row r="18" spans="2:8" x14ac:dyDescent="0.25">
      <c r="B18" s="38">
        <v>45344</v>
      </c>
      <c r="C18" s="39">
        <v>2340.61</v>
      </c>
      <c r="D18" s="31" t="b">
        <v>1</v>
      </c>
      <c r="E18" s="31" t="b">
        <v>1</v>
      </c>
    </row>
    <row r="19" spans="2:8" x14ac:dyDescent="0.25">
      <c r="B19" s="41">
        <v>45315</v>
      </c>
      <c r="C19" s="42">
        <v>1145.44</v>
      </c>
      <c r="D19" s="31" t="b">
        <v>1</v>
      </c>
      <c r="E19" s="31" t="b">
        <v>1</v>
      </c>
      <c r="H19" t="str" cm="1">
        <f t="array" aca="1" ref="H19" ca="1">ShowFormulas(D13)</f>
        <v>D13: =ISNUMBER(B13:C32)</v>
      </c>
    </row>
    <row r="20" spans="2:8" x14ac:dyDescent="0.25">
      <c r="B20" s="38">
        <v>45372</v>
      </c>
      <c r="C20" s="39">
        <v>1783.27</v>
      </c>
      <c r="D20" s="31" t="b">
        <v>1</v>
      </c>
      <c r="E20" s="31" t="b">
        <v>1</v>
      </c>
    </row>
    <row r="21" spans="2:8" x14ac:dyDescent="0.25">
      <c r="B21" s="38">
        <v>45350</v>
      </c>
      <c r="C21" s="39">
        <v>1739.27</v>
      </c>
      <c r="D21" s="31" t="b">
        <v>1</v>
      </c>
      <c r="E21" s="31" t="b">
        <v>1</v>
      </c>
    </row>
    <row r="22" spans="2:8" x14ac:dyDescent="0.25">
      <c r="B22" s="41">
        <v>45321</v>
      </c>
      <c r="C22" s="42">
        <v>1821.05</v>
      </c>
      <c r="D22" s="31" t="b">
        <v>1</v>
      </c>
      <c r="E22" s="31" t="b">
        <v>1</v>
      </c>
    </row>
    <row r="23" spans="2:8" x14ac:dyDescent="0.25">
      <c r="B23" s="41">
        <v>45294</v>
      </c>
      <c r="C23" s="42">
        <v>637.39</v>
      </c>
      <c r="D23" s="31" t="b">
        <v>1</v>
      </c>
      <c r="E23" s="31" t="b">
        <v>1</v>
      </c>
    </row>
    <row r="24" spans="2:8" x14ac:dyDescent="0.25">
      <c r="B24" s="38">
        <v>45323</v>
      </c>
      <c r="C24" s="39">
        <v>2134.7199999999998</v>
      </c>
      <c r="D24" s="31" t="b">
        <v>1</v>
      </c>
      <c r="E24" s="31" t="b">
        <v>1</v>
      </c>
    </row>
    <row r="25" spans="2:8" x14ac:dyDescent="0.25">
      <c r="B25" s="38">
        <v>45341</v>
      </c>
      <c r="C25" s="39">
        <v>843.78</v>
      </c>
      <c r="D25" s="31" t="b">
        <v>1</v>
      </c>
      <c r="E25" s="31" t="b">
        <v>1</v>
      </c>
    </row>
    <row r="26" spans="2:8" x14ac:dyDescent="0.25">
      <c r="B26" s="41">
        <v>45304</v>
      </c>
      <c r="C26" s="42">
        <v>516.67999999999995</v>
      </c>
      <c r="D26" s="31" t="b">
        <v>1</v>
      </c>
      <c r="E26" s="31" t="b">
        <v>1</v>
      </c>
    </row>
    <row r="27" spans="2:8" x14ac:dyDescent="0.25">
      <c r="B27" s="41">
        <v>45319</v>
      </c>
      <c r="C27" s="42">
        <v>2438.9299999999998</v>
      </c>
      <c r="D27" s="31" t="b">
        <v>1</v>
      </c>
      <c r="E27" s="31" t="b">
        <v>1</v>
      </c>
    </row>
    <row r="28" spans="2:8" x14ac:dyDescent="0.25">
      <c r="B28" s="38">
        <v>45351</v>
      </c>
      <c r="C28" s="39">
        <v>1180.1099999999999</v>
      </c>
      <c r="D28" s="31" t="b">
        <v>1</v>
      </c>
      <c r="E28" s="31" t="b">
        <v>1</v>
      </c>
    </row>
    <row r="29" spans="2:8" x14ac:dyDescent="0.25">
      <c r="B29" s="41">
        <v>45352</v>
      </c>
      <c r="C29" s="42">
        <v>1279.0899999999999</v>
      </c>
      <c r="D29" s="31" t="b">
        <v>1</v>
      </c>
      <c r="E29" s="31" t="b">
        <v>1</v>
      </c>
    </row>
    <row r="30" spans="2:8" x14ac:dyDescent="0.25">
      <c r="B30" s="38">
        <v>45343</v>
      </c>
      <c r="C30" s="39">
        <v>285.44</v>
      </c>
      <c r="D30" s="31" t="b">
        <v>1</v>
      </c>
      <c r="E30" s="31" t="b">
        <v>1</v>
      </c>
    </row>
    <row r="31" spans="2:8" x14ac:dyDescent="0.25">
      <c r="B31" s="38">
        <v>45363</v>
      </c>
      <c r="C31" s="39">
        <v>1655.55</v>
      </c>
      <c r="D31" s="31" t="b">
        <v>1</v>
      </c>
      <c r="E31" s="31" t="b">
        <v>1</v>
      </c>
    </row>
    <row r="32" spans="2:8" x14ac:dyDescent="0.25">
      <c r="B32" s="41">
        <v>45301</v>
      </c>
      <c r="C32" s="42">
        <v>165</v>
      </c>
      <c r="D32" s="31" t="b">
        <v>1</v>
      </c>
      <c r="E32" s="31" t="b">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291AA-C7D2-432A-B050-CDB778154EC5}">
  <sheetPr>
    <tabColor rgb="FF0000FF"/>
  </sheetPr>
  <dimension ref="B2:G21"/>
  <sheetViews>
    <sheetView zoomScale="220" zoomScaleNormal="220" workbookViewId="0">
      <selection activeCell="G5" sqref="G5:G24"/>
    </sheetView>
  </sheetViews>
  <sheetFormatPr defaultRowHeight="15" x14ac:dyDescent="0.25"/>
  <cols>
    <col min="1" max="1" width="1.85546875" customWidth="1"/>
    <col min="2" max="2" width="11.7109375" customWidth="1"/>
    <col min="3" max="3" width="16.140625" customWidth="1"/>
    <col min="4" max="4" width="14.28515625" customWidth="1"/>
    <col min="5" max="5" width="15.28515625" customWidth="1"/>
    <col min="6" max="6" width="14.28515625" customWidth="1"/>
    <col min="7" max="7" width="12.28515625" customWidth="1"/>
  </cols>
  <sheetData>
    <row r="2" spans="2:7" x14ac:dyDescent="0.25">
      <c r="B2" s="16" t="s">
        <v>50</v>
      </c>
    </row>
    <row r="3" spans="2:7" x14ac:dyDescent="0.25">
      <c r="B3" t="s">
        <v>90</v>
      </c>
    </row>
    <row r="4" spans="2:7" x14ac:dyDescent="0.25">
      <c r="B4" t="str">
        <f>C7&amp;" of more than "&amp;DOLLAR(D7,0)&amp;" AND a '"&amp;C8&amp;"' of "&amp;D8&amp;" or more AND has less than "&amp;D9&amp;" "&amp;C9&amp;"."</f>
        <v>Total Asset Value of more than $2,500,000 AND a 'Credit Rating 1' of 5 or more AND has less than 6 Late Payments.</v>
      </c>
    </row>
    <row r="5" spans="2:7" x14ac:dyDescent="0.25">
      <c r="B5" t="s">
        <v>91</v>
      </c>
    </row>
    <row r="7" spans="2:7" x14ac:dyDescent="0.25">
      <c r="C7" s="17" t="s">
        <v>92</v>
      </c>
      <c r="D7" s="43">
        <v>2500000</v>
      </c>
    </row>
    <row r="8" spans="2:7" x14ac:dyDescent="0.25">
      <c r="C8" s="17" t="s">
        <v>93</v>
      </c>
      <c r="D8" s="20">
        <v>5</v>
      </c>
    </row>
    <row r="9" spans="2:7" x14ac:dyDescent="0.25">
      <c r="C9" s="17" t="s">
        <v>94</v>
      </c>
      <c r="D9" s="20">
        <v>6</v>
      </c>
    </row>
    <row r="11" spans="2:7" x14ac:dyDescent="0.25">
      <c r="B11" s="17" t="s">
        <v>95</v>
      </c>
      <c r="C11" s="17" t="s">
        <v>92</v>
      </c>
      <c r="D11" s="17" t="s">
        <v>93</v>
      </c>
      <c r="E11" s="17" t="s">
        <v>94</v>
      </c>
      <c r="F11" s="17" t="s">
        <v>96</v>
      </c>
      <c r="G11" s="17" t="s">
        <v>96</v>
      </c>
    </row>
    <row r="12" spans="2:7" x14ac:dyDescent="0.25">
      <c r="B12" s="20" t="s">
        <v>97</v>
      </c>
      <c r="C12" s="43">
        <v>3938124</v>
      </c>
      <c r="D12" s="20">
        <v>6.7</v>
      </c>
      <c r="E12" s="20">
        <v>0</v>
      </c>
      <c r="F12" s="31" t="str" cm="1">
        <f t="array" ref="F12:F21">IF((C12:C21&gt;D7)*(D12:D21&gt;=D8)*(E12:E21&lt;D9),"Credit","")</f>
        <v>Credit</v>
      </c>
      <c r="G12" s="31" t="str">
        <f>IF(AND(C12&gt;$D$7,D12&gt;=$D$8,E12&lt;$D$9),"Credit","")</f>
        <v>Credit</v>
      </c>
    </row>
    <row r="13" spans="2:7" x14ac:dyDescent="0.25">
      <c r="B13" s="20" t="s">
        <v>98</v>
      </c>
      <c r="C13" s="43">
        <v>2483204</v>
      </c>
      <c r="D13" s="20">
        <v>4</v>
      </c>
      <c r="E13" s="20">
        <v>0</v>
      </c>
      <c r="F13" s="31" t="str">
        <v/>
      </c>
      <c r="G13" s="31" t="str">
        <f t="shared" ref="G13:G21" si="0">IF(AND(C13&gt;$D$7,D13&gt;=$D$8,E13&lt;$D$9),"Credit","")</f>
        <v/>
      </c>
    </row>
    <row r="14" spans="2:7" x14ac:dyDescent="0.25">
      <c r="B14" s="20" t="s">
        <v>99</v>
      </c>
      <c r="C14" s="43">
        <v>2597034</v>
      </c>
      <c r="D14" s="20">
        <v>5.5</v>
      </c>
      <c r="E14" s="20">
        <v>2</v>
      </c>
      <c r="F14" s="31" t="str">
        <v>Credit</v>
      </c>
      <c r="G14" s="31" t="str">
        <f t="shared" si="0"/>
        <v>Credit</v>
      </c>
    </row>
    <row r="15" spans="2:7" x14ac:dyDescent="0.25">
      <c r="B15" s="20" t="s">
        <v>100</v>
      </c>
      <c r="C15" s="43">
        <v>3355395</v>
      </c>
      <c r="D15" s="20">
        <v>6.5</v>
      </c>
      <c r="E15" s="20">
        <v>7</v>
      </c>
      <c r="F15" s="31" t="str">
        <v/>
      </c>
      <c r="G15" s="31" t="str">
        <f t="shared" si="0"/>
        <v/>
      </c>
    </row>
    <row r="16" spans="2:7" x14ac:dyDescent="0.25">
      <c r="B16" s="20" t="s">
        <v>101</v>
      </c>
      <c r="C16" s="43">
        <v>1352078</v>
      </c>
      <c r="D16" s="20">
        <v>2.9</v>
      </c>
      <c r="E16" s="20">
        <v>15</v>
      </c>
      <c r="F16" s="31" t="str">
        <v/>
      </c>
      <c r="G16" s="31" t="str">
        <f t="shared" si="0"/>
        <v/>
      </c>
    </row>
    <row r="17" spans="2:7" x14ac:dyDescent="0.25">
      <c r="B17" s="20" t="s">
        <v>52</v>
      </c>
      <c r="C17" s="43">
        <v>3348247</v>
      </c>
      <c r="D17" s="20">
        <v>5.7</v>
      </c>
      <c r="E17" s="20">
        <v>10</v>
      </c>
      <c r="F17" s="31" t="str">
        <v/>
      </c>
      <c r="G17" s="31" t="str">
        <f t="shared" si="0"/>
        <v/>
      </c>
    </row>
    <row r="18" spans="2:7" x14ac:dyDescent="0.25">
      <c r="B18" s="20" t="s">
        <v>102</v>
      </c>
      <c r="C18" s="43">
        <v>1008822</v>
      </c>
      <c r="D18" s="20">
        <v>1</v>
      </c>
      <c r="E18" s="20">
        <v>22</v>
      </c>
      <c r="F18" s="31" t="str">
        <v/>
      </c>
      <c r="G18" s="31" t="str">
        <f t="shared" si="0"/>
        <v/>
      </c>
    </row>
    <row r="19" spans="2:7" x14ac:dyDescent="0.25">
      <c r="B19" s="20" t="s">
        <v>103</v>
      </c>
      <c r="C19" s="43">
        <v>3088100</v>
      </c>
      <c r="D19" s="20">
        <v>9.8000000000000007</v>
      </c>
      <c r="E19" s="20">
        <v>4</v>
      </c>
      <c r="F19" s="31" t="str">
        <v>Credit</v>
      </c>
      <c r="G19" s="31" t="str">
        <f t="shared" si="0"/>
        <v>Credit</v>
      </c>
    </row>
    <row r="20" spans="2:7" x14ac:dyDescent="0.25">
      <c r="B20" s="20" t="s">
        <v>104</v>
      </c>
      <c r="C20" s="43">
        <v>2997741</v>
      </c>
      <c r="D20" s="20">
        <v>4.9000000000000004</v>
      </c>
      <c r="E20" s="20">
        <v>0</v>
      </c>
      <c r="F20" s="31" t="str">
        <v/>
      </c>
      <c r="G20" s="31" t="str">
        <f t="shared" si="0"/>
        <v/>
      </c>
    </row>
    <row r="21" spans="2:7" x14ac:dyDescent="0.25">
      <c r="B21" s="20" t="s">
        <v>105</v>
      </c>
      <c r="C21" s="43">
        <v>1844469</v>
      </c>
      <c r="D21" s="20">
        <v>2.6</v>
      </c>
      <c r="E21" s="20">
        <v>8</v>
      </c>
      <c r="F21" s="31" t="str">
        <v/>
      </c>
      <c r="G21" s="31" t="str">
        <f t="shared" si="0"/>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264FD-E0DF-4EBE-A6C9-345AE855FA47}">
  <sheetPr>
    <tabColor rgb="FFFF0000"/>
  </sheetPr>
  <dimension ref="B2:I21"/>
  <sheetViews>
    <sheetView workbookViewId="0">
      <selection activeCell="G5" sqref="G5:G24"/>
    </sheetView>
  </sheetViews>
  <sheetFormatPr defaultRowHeight="15" x14ac:dyDescent="0.25"/>
  <cols>
    <col min="1" max="1" width="1.85546875" customWidth="1"/>
    <col min="2" max="2" width="11.7109375" customWidth="1"/>
    <col min="3" max="3" width="16.140625" customWidth="1"/>
    <col min="4" max="4" width="14.28515625" customWidth="1"/>
    <col min="5" max="5" width="15.28515625" customWidth="1"/>
    <col min="6" max="6" width="14.28515625" customWidth="1"/>
    <col min="7" max="7" width="12.28515625" customWidth="1"/>
  </cols>
  <sheetData>
    <row r="2" spans="2:9" x14ac:dyDescent="0.25">
      <c r="B2" s="16" t="s">
        <v>50</v>
      </c>
    </row>
    <row r="3" spans="2:9" x14ac:dyDescent="0.25">
      <c r="B3" t="s">
        <v>90</v>
      </c>
    </row>
    <row r="4" spans="2:9" x14ac:dyDescent="0.25">
      <c r="B4" t="str">
        <f>C7&amp;" of more than "&amp;DOLLAR(D7,0)&amp;" AND a '"&amp;C8&amp;"' of "&amp;D8&amp;" or more AND has less than "&amp;D9&amp;" "&amp;C9&amp;"."</f>
        <v>Total Asset Value of more than $2,500,000 AND a 'Credit Rating 1' of 5 or more AND has less than 6 Late Payments.</v>
      </c>
    </row>
    <row r="5" spans="2:9" x14ac:dyDescent="0.25">
      <c r="B5" t="s">
        <v>91</v>
      </c>
    </row>
    <row r="7" spans="2:9" x14ac:dyDescent="0.25">
      <c r="C7" s="17" t="s">
        <v>92</v>
      </c>
      <c r="D7" s="43">
        <v>2500000</v>
      </c>
    </row>
    <row r="8" spans="2:9" x14ac:dyDescent="0.25">
      <c r="C8" s="17" t="s">
        <v>93</v>
      </c>
      <c r="D8" s="20">
        <v>5</v>
      </c>
    </row>
    <row r="9" spans="2:9" x14ac:dyDescent="0.25">
      <c r="C9" s="17" t="s">
        <v>94</v>
      </c>
      <c r="D9" s="20">
        <v>6</v>
      </c>
    </row>
    <row r="11" spans="2:9" x14ac:dyDescent="0.25">
      <c r="B11" s="17" t="s">
        <v>95</v>
      </c>
      <c r="C11" s="17" t="s">
        <v>92</v>
      </c>
      <c r="D11" s="17" t="s">
        <v>93</v>
      </c>
      <c r="E11" s="17" t="s">
        <v>94</v>
      </c>
      <c r="F11" s="17" t="s">
        <v>96</v>
      </c>
      <c r="G11" s="17" t="s">
        <v>96</v>
      </c>
    </row>
    <row r="12" spans="2:9" x14ac:dyDescent="0.25">
      <c r="B12" s="20" t="s">
        <v>97</v>
      </c>
      <c r="C12" s="43">
        <v>3938124</v>
      </c>
      <c r="D12" s="20">
        <v>6.7</v>
      </c>
      <c r="E12" s="20">
        <v>0</v>
      </c>
      <c r="F12" s="31" t="str">
        <f>IF(AND(C12&gt;$D$7,D12&gt;=$D$8,E12&lt;$D$9),"Credit","")</f>
        <v>Credit</v>
      </c>
      <c r="G12" s="31" t="str" cm="1">
        <f t="array" ref="G12:G21">IF((C12:C21&gt;D7)*(D12:D21&gt;=D8)*(E12:E21&lt;D9),"Credit","")</f>
        <v>Credit</v>
      </c>
      <c r="I12" t="str">
        <f ca="1">_xlfn.IFNA(_xlfn.FORMULATEXT(F12),"")</f>
        <v>=IF(AND(C12&gt;$D$7,D12&gt;=$D$8,E12&lt;$D$9),"Credit","")</v>
      </c>
    </row>
    <row r="13" spans="2:9" x14ac:dyDescent="0.25">
      <c r="B13" s="20" t="s">
        <v>98</v>
      </c>
      <c r="C13" s="43">
        <v>2483204</v>
      </c>
      <c r="D13" s="20">
        <v>4</v>
      </c>
      <c r="E13" s="20">
        <v>0</v>
      </c>
      <c r="F13" s="31" t="str">
        <f t="shared" ref="F13:F21" si="0">IF(AND(C13&gt;$D$7,D13&gt;=$D$8,E13&lt;$D$9),"Credit","")</f>
        <v/>
      </c>
      <c r="G13" s="31" t="str">
        <v/>
      </c>
      <c r="I13" t="str">
        <f ca="1">_xlfn.IFNA(_xlfn.FORMULATEXT(G12),"")</f>
        <v>=IF((C12:C21&gt;D7)*(D12:D21&gt;=D8)*(E12:E21&lt;D9),"Credit","")</v>
      </c>
    </row>
    <row r="14" spans="2:9" x14ac:dyDescent="0.25">
      <c r="B14" s="20" t="s">
        <v>99</v>
      </c>
      <c r="C14" s="43">
        <v>2597034</v>
      </c>
      <c r="D14" s="20">
        <v>5.5</v>
      </c>
      <c r="E14" s="20">
        <v>2</v>
      </c>
      <c r="F14" s="31" t="str">
        <f t="shared" si="0"/>
        <v>Credit</v>
      </c>
      <c r="G14" s="31" t="str">
        <v>Credit</v>
      </c>
    </row>
    <row r="15" spans="2:9" x14ac:dyDescent="0.25">
      <c r="B15" s="20" t="s">
        <v>100</v>
      </c>
      <c r="C15" s="43">
        <v>3355395</v>
      </c>
      <c r="D15" s="20">
        <v>6.5</v>
      </c>
      <c r="E15" s="20">
        <v>7</v>
      </c>
      <c r="F15" s="31" t="str">
        <f t="shared" si="0"/>
        <v/>
      </c>
      <c r="G15" s="31" t="str">
        <v/>
      </c>
    </row>
    <row r="16" spans="2:9" x14ac:dyDescent="0.25">
      <c r="B16" s="20" t="s">
        <v>101</v>
      </c>
      <c r="C16" s="43">
        <v>1352078</v>
      </c>
      <c r="D16" s="20">
        <v>2.9</v>
      </c>
      <c r="E16" s="20">
        <v>15</v>
      </c>
      <c r="F16" s="31" t="str">
        <f t="shared" si="0"/>
        <v/>
      </c>
      <c r="G16" s="31" t="str">
        <v/>
      </c>
    </row>
    <row r="17" spans="2:7" x14ac:dyDescent="0.25">
      <c r="B17" s="20" t="s">
        <v>52</v>
      </c>
      <c r="C17" s="43">
        <v>3348247</v>
      </c>
      <c r="D17" s="20">
        <v>5.7</v>
      </c>
      <c r="E17" s="20">
        <v>10</v>
      </c>
      <c r="F17" s="31" t="str">
        <f t="shared" si="0"/>
        <v/>
      </c>
      <c r="G17" s="31" t="str">
        <v/>
      </c>
    </row>
    <row r="18" spans="2:7" x14ac:dyDescent="0.25">
      <c r="B18" s="20" t="s">
        <v>102</v>
      </c>
      <c r="C18" s="43">
        <v>1008822</v>
      </c>
      <c r="D18" s="20">
        <v>1</v>
      </c>
      <c r="E18" s="20">
        <v>22</v>
      </c>
      <c r="F18" s="31" t="str">
        <f t="shared" si="0"/>
        <v/>
      </c>
      <c r="G18" s="31" t="str">
        <v/>
      </c>
    </row>
    <row r="19" spans="2:7" x14ac:dyDescent="0.25">
      <c r="B19" s="20" t="s">
        <v>103</v>
      </c>
      <c r="C19" s="43">
        <v>3088100</v>
      </c>
      <c r="D19" s="20">
        <v>9.8000000000000007</v>
      </c>
      <c r="E19" s="20">
        <v>4</v>
      </c>
      <c r="F19" s="31" t="str">
        <f t="shared" si="0"/>
        <v>Credit</v>
      </c>
      <c r="G19" s="31" t="str">
        <v>Credit</v>
      </c>
    </row>
    <row r="20" spans="2:7" x14ac:dyDescent="0.25">
      <c r="B20" s="20" t="s">
        <v>104</v>
      </c>
      <c r="C20" s="43">
        <v>2997741</v>
      </c>
      <c r="D20" s="20">
        <v>4.9000000000000004</v>
      </c>
      <c r="E20" s="20">
        <v>0</v>
      </c>
      <c r="F20" s="31" t="str">
        <f t="shared" si="0"/>
        <v/>
      </c>
      <c r="G20" s="31" t="str">
        <v/>
      </c>
    </row>
    <row r="21" spans="2:7" x14ac:dyDescent="0.25">
      <c r="B21" s="20" t="s">
        <v>105</v>
      </c>
      <c r="C21" s="43">
        <v>1844469</v>
      </c>
      <c r="D21" s="20">
        <v>2.6</v>
      </c>
      <c r="E21" s="20">
        <v>8</v>
      </c>
      <c r="F21" s="31" t="str">
        <f t="shared" si="0"/>
        <v/>
      </c>
      <c r="G21" s="31" t="str">
        <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D93E-3D83-456B-A492-A4BBE6B38291}">
  <sheetPr>
    <tabColor rgb="FF0000FF"/>
  </sheetPr>
  <dimension ref="B2:G21"/>
  <sheetViews>
    <sheetView zoomScale="235" zoomScaleNormal="235" workbookViewId="0">
      <selection activeCell="G5" sqref="G5:G24"/>
    </sheetView>
  </sheetViews>
  <sheetFormatPr defaultRowHeight="15" x14ac:dyDescent="0.25"/>
  <cols>
    <col min="1" max="1" width="1.85546875" customWidth="1"/>
    <col min="2" max="2" width="11.7109375" customWidth="1"/>
    <col min="3" max="3" width="16.140625" customWidth="1"/>
    <col min="4" max="4" width="14.28515625" customWidth="1"/>
    <col min="5" max="5" width="15.28515625" customWidth="1"/>
    <col min="6" max="6" width="14.28515625" customWidth="1"/>
    <col min="7" max="7" width="12.28515625" customWidth="1"/>
  </cols>
  <sheetData>
    <row r="2" spans="2:7" x14ac:dyDescent="0.25">
      <c r="B2" s="16" t="s">
        <v>50</v>
      </c>
    </row>
    <row r="3" spans="2:7" x14ac:dyDescent="0.25">
      <c r="B3" t="s">
        <v>106</v>
      </c>
    </row>
    <row r="4" spans="2:7" x14ac:dyDescent="0.25">
      <c r="B4" t="str">
        <f>C7&amp;" of more than "&amp;DOLLAR(D7,0)&amp;" OR a '"&amp;C8&amp;"' of "&amp;D8&amp;" or more OR has less than "&amp;D9&amp;" "&amp;C9&amp;"."</f>
        <v>Total Asset Value of more than $2,500,000 OR a 'Credit Rating 1' of 5 or more OR has less than 6 Late Payments.</v>
      </c>
    </row>
    <row r="5" spans="2:7" x14ac:dyDescent="0.25">
      <c r="B5" t="s">
        <v>107</v>
      </c>
    </row>
    <row r="7" spans="2:7" x14ac:dyDescent="0.25">
      <c r="C7" s="17" t="s">
        <v>92</v>
      </c>
      <c r="D7" s="43">
        <v>2500000</v>
      </c>
    </row>
    <row r="8" spans="2:7" x14ac:dyDescent="0.25">
      <c r="C8" s="17" t="s">
        <v>93</v>
      </c>
      <c r="D8" s="20">
        <v>5</v>
      </c>
    </row>
    <row r="9" spans="2:7" x14ac:dyDescent="0.25">
      <c r="C9" s="17" t="s">
        <v>94</v>
      </c>
      <c r="D9" s="20">
        <v>6</v>
      </c>
    </row>
    <row r="11" spans="2:7" x14ac:dyDescent="0.25">
      <c r="B11" s="17" t="s">
        <v>95</v>
      </c>
      <c r="C11" s="17" t="s">
        <v>92</v>
      </c>
      <c r="D11" s="17" t="s">
        <v>93</v>
      </c>
      <c r="E11" s="17" t="s">
        <v>94</v>
      </c>
      <c r="F11" s="17" t="s">
        <v>96</v>
      </c>
      <c r="G11" s="17" t="s">
        <v>96</v>
      </c>
    </row>
    <row r="12" spans="2:7" x14ac:dyDescent="0.25">
      <c r="B12" s="20" t="s">
        <v>97</v>
      </c>
      <c r="C12" s="43">
        <v>3938124</v>
      </c>
      <c r="D12" s="20">
        <v>6.7</v>
      </c>
      <c r="E12" s="20">
        <v>0</v>
      </c>
      <c r="F12" s="31" t="str">
        <f>IF(OR(C12&gt;$D$7,D12&gt;=$D$8,E12&lt;$D$9),"Credit","")</f>
        <v>Credit</v>
      </c>
      <c r="G12" s="31" t="str" cm="1">
        <f t="array" ref="G12:G21">IF((C12:C21&gt;D7)+(D12:D21&gt;=D8)+(E12:E21&lt;D9),"Credit","")</f>
        <v>Credit</v>
      </c>
    </row>
    <row r="13" spans="2:7" x14ac:dyDescent="0.25">
      <c r="B13" s="20" t="s">
        <v>98</v>
      </c>
      <c r="C13" s="43">
        <v>2483204</v>
      </c>
      <c r="D13" s="20">
        <v>4</v>
      </c>
      <c r="E13" s="20">
        <v>0</v>
      </c>
      <c r="F13" s="31" t="str">
        <f t="shared" ref="F13:F21" si="0">IF(OR(C13&gt;$D$7,D13&gt;=$D$8,E13&lt;$D$9),"Credit","")</f>
        <v>Credit</v>
      </c>
      <c r="G13" s="31" t="str">
        <v>Credit</v>
      </c>
    </row>
    <row r="14" spans="2:7" x14ac:dyDescent="0.25">
      <c r="B14" s="20" t="s">
        <v>99</v>
      </c>
      <c r="C14" s="43">
        <v>2597034</v>
      </c>
      <c r="D14" s="20">
        <v>5.5</v>
      </c>
      <c r="E14" s="20">
        <v>2</v>
      </c>
      <c r="F14" s="31" t="str">
        <f t="shared" si="0"/>
        <v>Credit</v>
      </c>
      <c r="G14" s="31" t="str">
        <v>Credit</v>
      </c>
    </row>
    <row r="15" spans="2:7" x14ac:dyDescent="0.25">
      <c r="B15" s="20" t="s">
        <v>100</v>
      </c>
      <c r="C15" s="43">
        <v>3355395</v>
      </c>
      <c r="D15" s="20">
        <v>6.5</v>
      </c>
      <c r="E15" s="20">
        <v>7</v>
      </c>
      <c r="F15" s="31" t="str">
        <f t="shared" si="0"/>
        <v>Credit</v>
      </c>
      <c r="G15" s="31" t="str">
        <v>Credit</v>
      </c>
    </row>
    <row r="16" spans="2:7" x14ac:dyDescent="0.25">
      <c r="B16" s="20" t="s">
        <v>101</v>
      </c>
      <c r="C16" s="43">
        <v>1352078</v>
      </c>
      <c r="D16" s="20">
        <v>2.9</v>
      </c>
      <c r="E16" s="20">
        <v>15</v>
      </c>
      <c r="F16" s="31" t="str">
        <f t="shared" si="0"/>
        <v/>
      </c>
      <c r="G16" s="31" t="str">
        <v/>
      </c>
    </row>
    <row r="17" spans="2:7" x14ac:dyDescent="0.25">
      <c r="B17" s="20" t="s">
        <v>52</v>
      </c>
      <c r="C17" s="43">
        <v>3348247</v>
      </c>
      <c r="D17" s="20">
        <v>5.7</v>
      </c>
      <c r="E17" s="20">
        <v>10</v>
      </c>
      <c r="F17" s="31" t="str">
        <f t="shared" si="0"/>
        <v>Credit</v>
      </c>
      <c r="G17" s="31" t="str">
        <v>Credit</v>
      </c>
    </row>
    <row r="18" spans="2:7" x14ac:dyDescent="0.25">
      <c r="B18" s="20" t="s">
        <v>102</v>
      </c>
      <c r="C18" s="43">
        <v>1008822</v>
      </c>
      <c r="D18" s="20">
        <v>1</v>
      </c>
      <c r="E18" s="20">
        <v>22</v>
      </c>
      <c r="F18" s="31" t="str">
        <f t="shared" si="0"/>
        <v/>
      </c>
      <c r="G18" s="31" t="str">
        <v/>
      </c>
    </row>
    <row r="19" spans="2:7" x14ac:dyDescent="0.25">
      <c r="B19" s="20" t="s">
        <v>103</v>
      </c>
      <c r="C19" s="43">
        <v>3088100</v>
      </c>
      <c r="D19" s="20">
        <v>9.8000000000000007</v>
      </c>
      <c r="E19" s="20">
        <v>4</v>
      </c>
      <c r="F19" s="31" t="str">
        <f t="shared" si="0"/>
        <v>Credit</v>
      </c>
      <c r="G19" s="31" t="str">
        <v>Credit</v>
      </c>
    </row>
    <row r="20" spans="2:7" x14ac:dyDescent="0.25">
      <c r="B20" s="20" t="s">
        <v>104</v>
      </c>
      <c r="C20" s="43">
        <v>2997741</v>
      </c>
      <c r="D20" s="20">
        <v>4.9000000000000004</v>
      </c>
      <c r="E20" s="20">
        <v>0</v>
      </c>
      <c r="F20" s="31" t="str">
        <f t="shared" si="0"/>
        <v>Credit</v>
      </c>
      <c r="G20" s="31" t="str">
        <v>Credit</v>
      </c>
    </row>
    <row r="21" spans="2:7" x14ac:dyDescent="0.25">
      <c r="B21" s="20" t="s">
        <v>105</v>
      </c>
      <c r="C21" s="43">
        <v>1844469</v>
      </c>
      <c r="D21" s="20">
        <v>2.6</v>
      </c>
      <c r="E21" s="20">
        <v>8</v>
      </c>
      <c r="F21" s="31" t="str">
        <f t="shared" si="0"/>
        <v/>
      </c>
      <c r="G21" s="31" t="str">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D7EA2-5227-4B00-8E53-6D50B5A9D9C4}">
  <sheetPr>
    <tabColor rgb="FFFF0000"/>
  </sheetPr>
  <dimension ref="B2:I21"/>
  <sheetViews>
    <sheetView workbookViewId="0">
      <selection activeCell="G5" sqref="G5:G24"/>
    </sheetView>
  </sheetViews>
  <sheetFormatPr defaultRowHeight="15" x14ac:dyDescent="0.25"/>
  <cols>
    <col min="1" max="1" width="1.85546875" customWidth="1"/>
    <col min="2" max="2" width="11.7109375" customWidth="1"/>
    <col min="3" max="3" width="16.140625" customWidth="1"/>
    <col min="4" max="4" width="14.28515625" customWidth="1"/>
    <col min="5" max="5" width="15.28515625" customWidth="1"/>
    <col min="6" max="6" width="14.28515625" customWidth="1"/>
    <col min="7" max="7" width="12.28515625" customWidth="1"/>
  </cols>
  <sheetData>
    <row r="2" spans="2:9" x14ac:dyDescent="0.25">
      <c r="B2" s="16" t="s">
        <v>50</v>
      </c>
    </row>
    <row r="3" spans="2:9" x14ac:dyDescent="0.25">
      <c r="B3" t="s">
        <v>106</v>
      </c>
    </row>
    <row r="4" spans="2:9" x14ac:dyDescent="0.25">
      <c r="B4" t="str">
        <f>C7&amp;" of more than "&amp;DOLLAR(D7,0)&amp;" OR a '"&amp;C8&amp;"' of "&amp;D8&amp;" or more OR has less than "&amp;D9&amp;" "&amp;C9&amp;"."</f>
        <v>Total Asset Value of more than $2,500,000 OR a 'Credit Rating 1' of 5 or more OR has less than 6 Late Payments.</v>
      </c>
    </row>
    <row r="5" spans="2:9" x14ac:dyDescent="0.25">
      <c r="B5" t="s">
        <v>107</v>
      </c>
    </row>
    <row r="7" spans="2:9" x14ac:dyDescent="0.25">
      <c r="C7" s="17" t="s">
        <v>92</v>
      </c>
      <c r="D7" s="43">
        <v>2500000</v>
      </c>
    </row>
    <row r="8" spans="2:9" x14ac:dyDescent="0.25">
      <c r="C8" s="17" t="s">
        <v>93</v>
      </c>
      <c r="D8" s="20">
        <v>5</v>
      </c>
    </row>
    <row r="9" spans="2:9" x14ac:dyDescent="0.25">
      <c r="C9" s="17" t="s">
        <v>94</v>
      </c>
      <c r="D9" s="20">
        <v>6</v>
      </c>
    </row>
    <row r="11" spans="2:9" x14ac:dyDescent="0.25">
      <c r="B11" s="17" t="s">
        <v>95</v>
      </c>
      <c r="C11" s="17" t="s">
        <v>92</v>
      </c>
      <c r="D11" s="17" t="s">
        <v>93</v>
      </c>
      <c r="E11" s="17" t="s">
        <v>94</v>
      </c>
      <c r="F11" s="17" t="s">
        <v>96</v>
      </c>
      <c r="G11" s="17" t="s">
        <v>96</v>
      </c>
    </row>
    <row r="12" spans="2:9" x14ac:dyDescent="0.25">
      <c r="B12" s="20" t="s">
        <v>97</v>
      </c>
      <c r="C12" s="43">
        <v>3938124</v>
      </c>
      <c r="D12" s="20">
        <v>6.7</v>
      </c>
      <c r="E12" s="20">
        <v>0</v>
      </c>
      <c r="F12" s="31" t="str">
        <f>IF(OR(C12&gt;$D$7,D12&gt;=$D$8,E12&lt;$D$9),"Credit","")</f>
        <v>Credit</v>
      </c>
      <c r="G12" s="31" t="str" cm="1">
        <f t="array" ref="G12:G21">IF((C12:C21&gt;D7)+(D12:D21&gt;=D8)+(E12:E21&lt;D9),"Credit","")</f>
        <v>Credit</v>
      </c>
      <c r="I12" t="str" cm="1">
        <f t="array" aca="1" ref="I12:I13" ca="1">_xlfn.TOCOL(_xlfn.FORMULATEXT(F12:G12))</f>
        <v>=IF(OR(C12&gt;$D$7,D12&gt;=$D$8,E12&lt;$D$9),"Credit","")</v>
      </c>
    </row>
    <row r="13" spans="2:9" x14ac:dyDescent="0.25">
      <c r="B13" s="20" t="s">
        <v>98</v>
      </c>
      <c r="C13" s="43">
        <v>2483204</v>
      </c>
      <c r="D13" s="20">
        <v>4</v>
      </c>
      <c r="E13" s="20">
        <v>0</v>
      </c>
      <c r="F13" s="31" t="str">
        <f t="shared" ref="F13:F21" si="0">IF(OR(C13&gt;$D$7,D13&gt;=$D$8,E13&lt;$D$9),"Credit","")</f>
        <v>Credit</v>
      </c>
      <c r="G13" s="31" t="str">
        <v>Credit</v>
      </c>
      <c r="I13" t="str">
        <f ca="1"/>
        <v>=IF((C12:C21&gt;D7)+(D12:D21&gt;=D8)+(E12:E21&lt;D9),"Credit","")</v>
      </c>
    </row>
    <row r="14" spans="2:9" x14ac:dyDescent="0.25">
      <c r="B14" s="20" t="s">
        <v>99</v>
      </c>
      <c r="C14" s="43">
        <v>2597034</v>
      </c>
      <c r="D14" s="20">
        <v>5.5</v>
      </c>
      <c r="E14" s="20">
        <v>2</v>
      </c>
      <c r="F14" s="31" t="str">
        <f t="shared" si="0"/>
        <v>Credit</v>
      </c>
      <c r="G14" s="31" t="str">
        <v>Credit</v>
      </c>
    </row>
    <row r="15" spans="2:9" x14ac:dyDescent="0.25">
      <c r="B15" s="20" t="s">
        <v>100</v>
      </c>
      <c r="C15" s="43">
        <v>3355395</v>
      </c>
      <c r="D15" s="20">
        <v>6.5</v>
      </c>
      <c r="E15" s="20">
        <v>7</v>
      </c>
      <c r="F15" s="31" t="str">
        <f t="shared" si="0"/>
        <v>Credit</v>
      </c>
      <c r="G15" s="31" t="str">
        <v>Credit</v>
      </c>
    </row>
    <row r="16" spans="2:9" x14ac:dyDescent="0.25">
      <c r="B16" s="20" t="s">
        <v>101</v>
      </c>
      <c r="C16" s="43">
        <v>1352078</v>
      </c>
      <c r="D16" s="20">
        <v>2.9</v>
      </c>
      <c r="E16" s="20">
        <v>15</v>
      </c>
      <c r="F16" s="31" t="str">
        <f t="shared" si="0"/>
        <v/>
      </c>
      <c r="G16" s="31" t="str">
        <v/>
      </c>
    </row>
    <row r="17" spans="2:7" x14ac:dyDescent="0.25">
      <c r="B17" s="20" t="s">
        <v>52</v>
      </c>
      <c r="C17" s="43">
        <v>3348247</v>
      </c>
      <c r="D17" s="20">
        <v>5.7</v>
      </c>
      <c r="E17" s="20">
        <v>10</v>
      </c>
      <c r="F17" s="31" t="str">
        <f t="shared" si="0"/>
        <v>Credit</v>
      </c>
      <c r="G17" s="31" t="str">
        <v>Credit</v>
      </c>
    </row>
    <row r="18" spans="2:7" x14ac:dyDescent="0.25">
      <c r="B18" s="20" t="s">
        <v>102</v>
      </c>
      <c r="C18" s="43">
        <v>1008822</v>
      </c>
      <c r="D18" s="20">
        <v>1</v>
      </c>
      <c r="E18" s="20">
        <v>22</v>
      </c>
      <c r="F18" s="31" t="str">
        <f t="shared" si="0"/>
        <v/>
      </c>
      <c r="G18" s="31" t="str">
        <v/>
      </c>
    </row>
    <row r="19" spans="2:7" x14ac:dyDescent="0.25">
      <c r="B19" s="20" t="s">
        <v>103</v>
      </c>
      <c r="C19" s="43">
        <v>3088100</v>
      </c>
      <c r="D19" s="20">
        <v>9.8000000000000007</v>
      </c>
      <c r="E19" s="20">
        <v>4</v>
      </c>
      <c r="F19" s="31" t="str">
        <f t="shared" si="0"/>
        <v>Credit</v>
      </c>
      <c r="G19" s="31" t="str">
        <v>Credit</v>
      </c>
    </row>
    <row r="20" spans="2:7" x14ac:dyDescent="0.25">
      <c r="B20" s="20" t="s">
        <v>104</v>
      </c>
      <c r="C20" s="43">
        <v>2997741</v>
      </c>
      <c r="D20" s="20">
        <v>4.9000000000000004</v>
      </c>
      <c r="E20" s="20">
        <v>0</v>
      </c>
      <c r="F20" s="31" t="str">
        <f t="shared" si="0"/>
        <v>Credit</v>
      </c>
      <c r="G20" s="31" t="str">
        <v>Credit</v>
      </c>
    </row>
    <row r="21" spans="2:7" x14ac:dyDescent="0.25">
      <c r="B21" s="20" t="s">
        <v>105</v>
      </c>
      <c r="C21" s="43">
        <v>1844469</v>
      </c>
      <c r="D21" s="20">
        <v>2.6</v>
      </c>
      <c r="E21" s="20">
        <v>8</v>
      </c>
      <c r="F21" s="31" t="str">
        <f t="shared" si="0"/>
        <v/>
      </c>
      <c r="G21" s="31" t="str">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HW(1-3)</vt:lpstr>
      <vt:lpstr>HW(1-3) (an)</vt:lpstr>
      <vt:lpstr>HW(4)</vt:lpstr>
      <vt:lpstr>HW(4an)</vt:lpstr>
      <vt:lpstr>HW(5)</vt:lpstr>
      <vt:lpstr>HW(5an)</vt:lpstr>
      <vt:lpstr>HW(6)</vt:lpstr>
      <vt:lpstr>HW(6an)</vt:lpstr>
      <vt:lpstr>HW(7)</vt:lpstr>
      <vt:lpstr>HW(7an)</vt:lpstr>
      <vt:lpstr>HW(8)</vt:lpstr>
      <vt:lpstr>HW(8an)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Martins</dc:creator>
  <cp:lastModifiedBy>João Martins</cp:lastModifiedBy>
  <dcterms:created xsi:type="dcterms:W3CDTF">2026-08-10T15:13:27Z</dcterms:created>
  <dcterms:modified xsi:type="dcterms:W3CDTF">2026-08-10T15:20:31Z</dcterms:modified>
</cp:coreProperties>
</file>